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DD Sheets/"/>
    </mc:Choice>
  </mc:AlternateContent>
  <xr:revisionPtr revIDLastSave="0" documentId="13_ncr:1_{0281AED0-20ED-B848-992D-09F3EAEF393E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DMT" sheetId="1" r:id="rId1"/>
  </sheets>
  <functionGroups builtInGroupCount="19"/>
  <definedNames>
    <definedName name="DMTM">'DD DMT'!$AD$3:$AD$13</definedName>
    <definedName name="DMTW">'DD DMT'!$AC$3:$AC$18</definedName>
    <definedName name="_xlnm.Print_Area" localSheetId="0">'DD DMT'!$A$1:$Y$22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1" l="1"/>
  <c r="H17" i="1"/>
  <c r="B17" i="1"/>
  <c r="I10" i="1"/>
  <c r="C10" i="1"/>
  <c r="U12" i="1"/>
  <c r="U10" i="1"/>
  <c r="U11" i="1"/>
  <c r="O12" i="1"/>
  <c r="O10" i="1"/>
  <c r="O11" i="1"/>
  <c r="I12" i="1"/>
  <c r="I11" i="1"/>
  <c r="C12" i="1"/>
  <c r="C11" i="1"/>
  <c r="C13" i="1"/>
  <c r="C14" i="1"/>
  <c r="N22" i="1"/>
  <c r="I13" i="1"/>
  <c r="O13" i="1"/>
  <c r="U13" i="1"/>
  <c r="X3" i="1"/>
  <c r="J22" i="1"/>
  <c r="V3" i="1"/>
  <c r="H22" i="1"/>
  <c r="D22" i="1"/>
  <c r="B22" i="1"/>
  <c r="T18" i="1"/>
  <c r="T17" i="1"/>
  <c r="N18" i="1"/>
  <c r="N17" i="1"/>
  <c r="H18" i="1"/>
  <c r="B18" i="1"/>
  <c r="T20" i="1"/>
  <c r="N20" i="1"/>
  <c r="H20" i="1"/>
  <c r="B20" i="1"/>
  <c r="U14" i="1"/>
  <c r="O14" i="1"/>
  <c r="I14" i="1"/>
  <c r="S20" i="1"/>
  <c r="M20" i="1"/>
  <c r="G20" i="1"/>
  <c r="A20" i="1"/>
  <c r="S17" i="1"/>
  <c r="M17" i="1"/>
  <c r="G17" i="1"/>
  <c r="A17" i="1"/>
  <c r="S18" i="1"/>
  <c r="M18" i="1"/>
  <c r="G18" i="1"/>
  <c r="A18" i="1"/>
</calcChain>
</file>

<file path=xl/sharedStrings.xml><?xml version="1.0" encoding="utf-8"?>
<sst xmlns="http://schemas.openxmlformats.org/spreadsheetml/2006/main" count="84" uniqueCount="29">
  <si>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</si>
  <si>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</si>
  <si>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</si>
  <si>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</si>
  <si>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</si>
  <si>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</si>
  <si>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</si>
  <si>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</si>
  <si>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</si>
  <si>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</si>
  <si>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1st pass / 1er passage (prelim.)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</si>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</sst>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7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164" fontId="0" fillId="2" borderId="9" xfId="0" applyNumberFormat="1" applyFill="1" applyBorder="1" applyProtection="1"/>
    <xf numFmtId="0" fontId="0" fillId="2" borderId="0" xfId="0" applyFont="1" applyFill="1" applyBorder="1" applyAlignment="1" applyProtection="1">
      <alignment horizontal="center"/>
      <protection locked="0"/>
    </xf>
    <xf numFmtId="0" fontId="9" fillId="0" borderId="20" xfId="0" applyFont="1" applyBorder="1"/>
    <xf numFmtId="0" fontId="5" fillId="0" borderId="0" xfId="0" applyFont="1" applyFill="1" applyBorder="1" applyAlignment="1">
      <alignment vertical="center"/>
    </xf>
    <xf numFmtId="0" fontId="9" fillId="0" borderId="16" xfId="0" applyFont="1" applyBorder="1"/>
    <xf numFmtId="0" fontId="0" fillId="0" borderId="0" xfId="0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 applyProtection="1">
      <alignment horizontal="center"/>
    </xf>
    <xf numFmtId="164" fontId="3" fillId="4" borderId="9" xfId="0" applyNumberFormat="1" applyFont="1" applyFill="1" applyBorder="1" applyAlignment="1" applyProtection="1">
      <alignment wrapText="1"/>
    </xf>
    <xf numFmtId="0" fontId="12" fillId="0" borderId="0" xfId="0" applyFont="1"/>
    <xf numFmtId="0" fontId="0" fillId="0" borderId="0" xfId="0" applyFont="1"/>
    <xf numFmtId="0" fontId="12" fillId="0" borderId="22" xfId="0" applyFont="1" applyBorder="1" applyAlignment="1" applyProtection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49" fontId="14" fillId="0" borderId="0" xfId="0" applyNumberFormat="1" applyFont="1"/>
    <xf numFmtId="0" fontId="13" fillId="0" borderId="0" xfId="0" applyFont="1" applyAlignment="1">
      <alignment vertic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0" fillId="0" borderId="22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36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2" borderId="0" xfId="0" applyFont="1" applyFill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/>
    </xf>
    <xf numFmtId="0" fontId="0" fillId="0" borderId="0" xfId="0" applyBorder="1" applyAlignment="1"/>
    <xf numFmtId="0" fontId="3" fillId="3" borderId="0" xfId="0" applyFont="1" applyFill="1" applyBorder="1" applyAlignment="1" applyProtection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left"/>
    </xf>
  </cellXfs>
  <cellStyles count="1">
    <cellStyle name="Normal" xfId="0" builtinId="0"/>
  </cellStyles>
  <dxfs count="19"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</xdr:row>
          <xdr:rowOff>38100</xdr:rowOff>
        </xdr:from>
        <xdr:to>
          <xdr:col>26</xdr:col>
          <xdr:colOff>850900</xdr:colOff>
          <xdr:row>2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6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5.83203125" customWidth="1"/>
    <col min="5" max="5" width="5.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5.83203125" customWidth="1"/>
    <col min="11" max="11" width="5.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5.83203125" customWidth="1"/>
    <col min="17" max="17" width="5.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6.83203125" customWidth="1"/>
    <col min="23" max="23" width="2.83203125" customWidth="1"/>
    <col min="24" max="24" width="6.83203125" customWidth="1"/>
    <col min="25" max="25" width="5.5" customWidth="1"/>
    <col min="28" max="30" width="11.5" style="36"/>
    <col min="31" max="32" width="11.5" style="37"/>
  </cols>
  <sheetData>
    <row r="1" spans="1:38" ht="22" thickBot="1" x14ac:dyDescent="0.3">
      <c r="A1" s="92" t="s">
        <v>14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3"/>
      <c r="S1" s="93"/>
      <c r="T1" s="93"/>
      <c r="U1" s="93"/>
      <c r="V1" s="93"/>
      <c r="W1" s="93"/>
      <c r="X1" s="93"/>
      <c r="Y1" s="93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</row>
    <row r="2" spans="1:38" ht="19" customHeight="1" x14ac:dyDescent="0.2">
      <c r="A2" s="13"/>
      <c r="B2" s="14" t="s">
        <v>17</v>
      </c>
      <c r="C2" s="14"/>
      <c r="D2" s="14"/>
      <c r="E2" s="14"/>
      <c r="F2" s="14"/>
      <c r="G2" s="14" t="s">
        <v>18</v>
      </c>
      <c r="H2" s="14"/>
      <c r="I2" s="14"/>
      <c r="J2" s="14"/>
      <c r="K2" s="14"/>
      <c r="L2" s="14" t="s">
        <v>19</v>
      </c>
      <c r="M2" s="14"/>
      <c r="N2" s="14"/>
      <c r="O2" s="14"/>
      <c r="P2" s="14" t="s">
        <v>20</v>
      </c>
      <c r="Q2" s="14"/>
      <c r="R2" s="14"/>
      <c r="S2" s="101" t="s">
        <v>26</v>
      </c>
      <c r="T2" s="101"/>
      <c r="U2" s="14"/>
      <c r="V2" s="14" t="s">
        <v>24</v>
      </c>
      <c r="W2" s="14"/>
      <c r="X2" s="14" t="s">
        <v>22</v>
      </c>
      <c r="Y2" s="15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</row>
    <row r="3" spans="1:38" ht="19" customHeight="1" x14ac:dyDescent="0.2">
      <c r="A3" s="16"/>
      <c r="B3" s="82"/>
      <c r="C3" s="84"/>
      <c r="D3" s="84"/>
      <c r="E3" s="17"/>
      <c r="F3" s="17"/>
      <c r="G3" s="82"/>
      <c r="H3" s="83"/>
      <c r="I3" s="83"/>
      <c r="J3" s="83"/>
      <c r="L3" s="91" t="s">
        <v>23</v>
      </c>
      <c r="M3" s="91"/>
      <c r="N3" s="91"/>
      <c r="O3" s="17"/>
      <c r="P3" s="28" t="s">
        <v>23</v>
      </c>
      <c r="Q3" s="17"/>
      <c r="R3" s="17"/>
      <c r="S3" s="91" t="s">
        <v>23</v>
      </c>
      <c r="T3" s="91"/>
      <c r="U3" s="17"/>
      <c r="V3" s="34" t="str">
        <f>MINDMTDD(L3,P4)</f>
        <v/>
      </c>
      <c r="W3" s="33"/>
      <c r="X3" s="34" t="str">
        <f>MAXDMTDD(L3,P4)</f>
        <v/>
      </c>
      <c r="Y3" s="18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</row>
    <row r="4" spans="1:38" ht="13.5" customHeight="1" thickBot="1" x14ac:dyDescent="0.25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38" t="str">
        <f>LEFT(P3,2)</f>
        <v>Ch</v>
      </c>
      <c r="Q4" s="20"/>
      <c r="R4" s="20"/>
      <c r="S4" s="20"/>
      <c r="T4" s="20"/>
      <c r="U4" s="20"/>
      <c r="V4" s="20"/>
      <c r="W4" s="20"/>
      <c r="X4" s="20"/>
      <c r="Y4" s="21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</row>
    <row r="5" spans="1:38" ht="7.5" customHeight="1" thickBot="1" x14ac:dyDescent="0.25"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</row>
    <row r="6" spans="1:38" s="2" customFormat="1" ht="15" customHeight="1" x14ac:dyDescent="0.25">
      <c r="A6" s="95" t="s">
        <v>10</v>
      </c>
      <c r="B6" s="96"/>
      <c r="C6" s="96"/>
      <c r="D6" s="96"/>
      <c r="E6" s="97"/>
      <c r="G6" s="64" t="s">
        <v>11</v>
      </c>
      <c r="H6" s="65"/>
      <c r="I6" s="65"/>
      <c r="J6" s="65"/>
      <c r="K6" s="66"/>
      <c r="L6" s="3"/>
      <c r="M6" s="64" t="s">
        <v>13</v>
      </c>
      <c r="N6" s="65"/>
      <c r="O6" s="65"/>
      <c r="P6" s="65"/>
      <c r="Q6" s="66"/>
      <c r="R6" s="3"/>
      <c r="S6" s="64" t="s">
        <v>12</v>
      </c>
      <c r="T6" s="65"/>
      <c r="U6" s="65"/>
      <c r="V6" s="65"/>
      <c r="W6" s="70"/>
      <c r="X6" s="70"/>
      <c r="Y6" s="66"/>
      <c r="Z6" s="40"/>
      <c r="AA6" s="40"/>
      <c r="AB6" s="39"/>
      <c r="AC6" s="39"/>
      <c r="AD6" s="39"/>
      <c r="AE6" s="39"/>
      <c r="AF6" s="39"/>
      <c r="AG6" s="40"/>
      <c r="AH6" s="40"/>
      <c r="AI6" s="40"/>
      <c r="AJ6" s="40"/>
      <c r="AK6" s="40"/>
      <c r="AL6" s="40"/>
    </row>
    <row r="7" spans="1:38" ht="13.5" customHeight="1" x14ac:dyDescent="0.25">
      <c r="A7" s="98"/>
      <c r="B7" s="99"/>
      <c r="C7" s="99"/>
      <c r="D7" s="99"/>
      <c r="E7" s="100"/>
      <c r="G7" s="67"/>
      <c r="H7" s="68"/>
      <c r="I7" s="68"/>
      <c r="J7" s="68"/>
      <c r="K7" s="69"/>
      <c r="L7" s="4"/>
      <c r="M7" s="67"/>
      <c r="N7" s="68"/>
      <c r="O7" s="68"/>
      <c r="P7" s="68"/>
      <c r="Q7" s="69"/>
      <c r="R7" s="4"/>
      <c r="S7" s="67"/>
      <c r="T7" s="68"/>
      <c r="U7" s="68"/>
      <c r="V7" s="68"/>
      <c r="W7" s="71"/>
      <c r="X7" s="71"/>
      <c r="Y7" s="6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</row>
    <row r="8" spans="1:38" s="6" customFormat="1" ht="20.25" customHeight="1" x14ac:dyDescent="0.2">
      <c r="A8" s="72" t="s">
        <v>4</v>
      </c>
      <c r="B8" s="73"/>
      <c r="C8" s="73"/>
      <c r="D8" s="74" t="s">
        <v>5</v>
      </c>
      <c r="E8" s="76"/>
      <c r="G8" s="72" t="s">
        <v>4</v>
      </c>
      <c r="H8" s="73"/>
      <c r="I8" s="73"/>
      <c r="J8" s="74" t="s">
        <v>5</v>
      </c>
      <c r="K8" s="76"/>
      <c r="M8" s="72" t="s">
        <v>4</v>
      </c>
      <c r="N8" s="73"/>
      <c r="O8" s="73"/>
      <c r="P8" s="74" t="s">
        <v>5</v>
      </c>
      <c r="Q8" s="76"/>
      <c r="S8" s="72" t="s">
        <v>4</v>
      </c>
      <c r="T8" s="73"/>
      <c r="U8" s="73"/>
      <c r="V8" s="74" t="s">
        <v>5</v>
      </c>
      <c r="W8" s="75"/>
      <c r="X8" s="75"/>
      <c r="Y8" s="76"/>
      <c r="Z8" s="41"/>
      <c r="AA8" s="41"/>
      <c r="AB8" s="43"/>
      <c r="AC8" s="39"/>
      <c r="AD8" s="39"/>
      <c r="AE8" s="39"/>
      <c r="AF8" s="39"/>
      <c r="AG8" s="41"/>
      <c r="AH8" s="41"/>
      <c r="AI8" s="41"/>
      <c r="AJ8" s="41"/>
      <c r="AK8" s="41"/>
      <c r="AL8" s="41"/>
    </row>
    <row r="9" spans="1:38" s="2" customFormat="1" ht="16" thickBot="1" x14ac:dyDescent="0.25">
      <c r="A9" s="89" t="s">
        <v>3</v>
      </c>
      <c r="B9" s="90"/>
      <c r="C9" s="12" t="s">
        <v>1</v>
      </c>
      <c r="D9" s="8"/>
      <c r="E9" s="7" t="s">
        <v>1</v>
      </c>
      <c r="G9" s="89" t="s">
        <v>3</v>
      </c>
      <c r="H9" s="90"/>
      <c r="I9" s="12" t="s">
        <v>1</v>
      </c>
      <c r="J9" s="8"/>
      <c r="K9" s="7" t="s">
        <v>1</v>
      </c>
      <c r="M9" s="89" t="s">
        <v>3</v>
      </c>
      <c r="N9" s="90"/>
      <c r="O9" s="12" t="s">
        <v>1</v>
      </c>
      <c r="P9" s="8"/>
      <c r="Q9" s="7" t="s">
        <v>1</v>
      </c>
      <c r="S9" s="89" t="s">
        <v>3</v>
      </c>
      <c r="T9" s="90"/>
      <c r="U9" s="12" t="s">
        <v>1</v>
      </c>
      <c r="V9" s="77"/>
      <c r="W9" s="78"/>
      <c r="X9" s="79"/>
      <c r="Y9" s="7" t="s">
        <v>1</v>
      </c>
      <c r="Z9" s="40"/>
      <c r="AA9" s="40"/>
      <c r="AB9" s="39"/>
      <c r="AC9" s="43"/>
      <c r="AD9" s="39"/>
      <c r="AE9" s="39"/>
      <c r="AF9" s="39"/>
      <c r="AG9" s="40"/>
      <c r="AH9" s="40"/>
      <c r="AI9" s="40"/>
      <c r="AJ9" s="40"/>
      <c r="AK9" s="40"/>
      <c r="AL9" s="40"/>
    </row>
    <row r="10" spans="1:38" ht="23.5" customHeight="1" thickTop="1" x14ac:dyDescent="0.2">
      <c r="A10" s="25" t="s">
        <v>6</v>
      </c>
      <c r="B10" s="22"/>
      <c r="C10" s="27" t="str">
        <f>IF(B10="","",DMTDD(B10))</f>
        <v/>
      </c>
      <c r="D10" s="49"/>
      <c r="E10" s="5"/>
      <c r="G10" s="25" t="s">
        <v>6</v>
      </c>
      <c r="H10" s="22" t="s">
        <v>28</v>
      </c>
      <c r="I10" s="27" t="str">
        <f>IF(OR(H10="",H10=B10),"",DMTDD(H10))</f>
        <v/>
      </c>
      <c r="J10" s="49"/>
      <c r="K10" s="5"/>
      <c r="M10" s="25" t="s">
        <v>6</v>
      </c>
      <c r="N10" s="22" t="s">
        <v>28</v>
      </c>
      <c r="O10" s="27" t="str">
        <f>IF(OR(N10="",N10=B10,N10=H10),"",DMTDD(N10))</f>
        <v/>
      </c>
      <c r="P10" s="49"/>
      <c r="Q10" s="5"/>
      <c r="S10" s="25" t="s">
        <v>6</v>
      </c>
      <c r="T10" s="22" t="s">
        <v>28</v>
      </c>
      <c r="U10" s="27" t="str">
        <f>IF(OR(T10="",T10=B10,T10=H10,T10=N10),"",DMTDD(T10))</f>
        <v/>
      </c>
      <c r="V10" s="52"/>
      <c r="W10" s="53"/>
      <c r="X10" s="54"/>
      <c r="Y10" s="5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</row>
    <row r="11" spans="1:38" ht="25.5" customHeight="1" x14ac:dyDescent="0.2">
      <c r="A11" s="25" t="s">
        <v>8</v>
      </c>
      <c r="B11" s="22" t="s">
        <v>28</v>
      </c>
      <c r="C11" s="27" t="str">
        <f>IF(OR(B11="",C10&lt;&gt;"",P4="L4",P4="L5",P4="L6"),"",DMTDD(B11))</f>
        <v/>
      </c>
      <c r="D11" s="50"/>
      <c r="E11" s="5"/>
      <c r="G11" s="25" t="s">
        <v>8</v>
      </c>
      <c r="H11" s="22" t="s">
        <v>28</v>
      </c>
      <c r="I11" s="27" t="str">
        <f>IF(OR(H11="",I10&lt;&gt;"",H11=B11,P4="L4",P4="L5",P4="L6"),"",DMTDD(H11))</f>
        <v/>
      </c>
      <c r="J11" s="50"/>
      <c r="K11" s="5"/>
      <c r="M11" s="25" t="s">
        <v>8</v>
      </c>
      <c r="N11" s="22" t="s">
        <v>28</v>
      </c>
      <c r="O11" s="27" t="str">
        <f>IF(OR(N11="",O10&lt;&gt;"",N11=B11,N11=H11),"",DMTDD(N11))</f>
        <v/>
      </c>
      <c r="P11" s="50"/>
      <c r="Q11" s="5"/>
      <c r="S11" s="25" t="s">
        <v>8</v>
      </c>
      <c r="T11" s="22" t="s">
        <v>28</v>
      </c>
      <c r="U11" s="27" t="str">
        <f>IF(OR(T11="",U10&lt;&gt;"",T11=B11,T11=H11,T11=N11),"",DMTDD(T11))</f>
        <v/>
      </c>
      <c r="V11" s="55"/>
      <c r="W11" s="56"/>
      <c r="X11" s="57"/>
      <c r="Y11" s="5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</row>
    <row r="12" spans="1:38" ht="24.75" customHeight="1" x14ac:dyDescent="0.2">
      <c r="A12" s="26" t="s">
        <v>7</v>
      </c>
      <c r="B12" s="23" t="s">
        <v>28</v>
      </c>
      <c r="C12" s="27" t="str">
        <f>IF(B12="","",DMTDD(B12))</f>
        <v/>
      </c>
      <c r="D12" s="51"/>
      <c r="E12" s="1"/>
      <c r="G12" s="26" t="s">
        <v>7</v>
      </c>
      <c r="H12" s="23" t="s">
        <v>28</v>
      </c>
      <c r="I12" s="27" t="str">
        <f>IF(OR(H12="",H12=B12),"",DMTDD(H12))</f>
        <v/>
      </c>
      <c r="J12" s="51"/>
      <c r="K12" s="1"/>
      <c r="M12" s="26" t="s">
        <v>7</v>
      </c>
      <c r="N12" s="23" t="s">
        <v>28</v>
      </c>
      <c r="O12" s="27" t="str">
        <f>IF(OR(N12="",N12=B12,N12=H12),"",DMTDD(N12))</f>
        <v/>
      </c>
      <c r="P12" s="51"/>
      <c r="Q12" s="1"/>
      <c r="S12" s="26" t="s">
        <v>7</v>
      </c>
      <c r="T12" s="23" t="s">
        <v>28</v>
      </c>
      <c r="U12" s="27" t="str">
        <f>IF(OR(T12="",T12=B12,T12=H12,T12=N12),"",DMTDD(T12))</f>
        <v/>
      </c>
      <c r="V12" s="58"/>
      <c r="W12" s="59"/>
      <c r="X12" s="60"/>
      <c r="Y12" s="1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</row>
    <row r="13" spans="1:38" s="2" customFormat="1" ht="20.25" customHeight="1" x14ac:dyDescent="0.2">
      <c r="A13" s="85" t="s">
        <v>0</v>
      </c>
      <c r="B13" s="86"/>
      <c r="C13" s="35" t="str">
        <f>IF(SUM(C10:C12)=0,"",SUM(C10:C12))</f>
        <v/>
      </c>
      <c r="D13" s="10" t="s">
        <v>2</v>
      </c>
      <c r="E13" s="9"/>
      <c r="G13" s="87" t="s">
        <v>0</v>
      </c>
      <c r="H13" s="88"/>
      <c r="I13" s="35" t="str">
        <f>IF(SUM(I10:I12)=0,"",SUM(I10:I12))</f>
        <v/>
      </c>
      <c r="J13" s="10" t="s">
        <v>2</v>
      </c>
      <c r="K13" s="11"/>
      <c r="M13" s="85" t="s">
        <v>0</v>
      </c>
      <c r="N13" s="86"/>
      <c r="O13" s="35" t="str">
        <f>IF(SUM(O10:O12)=0,"",SUM(O10:O12))</f>
        <v/>
      </c>
      <c r="P13" s="10" t="s">
        <v>2</v>
      </c>
      <c r="Q13" s="9"/>
      <c r="S13" s="87" t="s">
        <v>0</v>
      </c>
      <c r="T13" s="88"/>
      <c r="U13" s="35" t="str">
        <f>IF(SUM(U10:U12)=0,"",SUM(U10:U12))</f>
        <v/>
      </c>
      <c r="V13" s="61" t="s">
        <v>2</v>
      </c>
      <c r="W13" s="62"/>
      <c r="X13" s="63"/>
      <c r="Y13" s="11"/>
      <c r="Z13" s="40"/>
      <c r="AA13" s="42"/>
      <c r="AB13" s="39"/>
      <c r="AC13" s="39"/>
      <c r="AD13" s="39"/>
      <c r="AE13" s="39"/>
      <c r="AF13" s="39"/>
      <c r="AG13" s="40"/>
      <c r="AH13" s="40"/>
      <c r="AI13" s="40"/>
      <c r="AJ13" s="40"/>
      <c r="AK13" s="40"/>
      <c r="AL13" s="40"/>
    </row>
    <row r="14" spans="1:38" s="2" customFormat="1" ht="19" customHeight="1" x14ac:dyDescent="0.2">
      <c r="A14" s="85" t="s">
        <v>15</v>
      </c>
      <c r="B14" s="86"/>
      <c r="C14" s="24" t="str">
        <f>IF(C13="","",IF($P$4="L2",IF(AND(MID(B10,1,2)="41",C10&lt;&gt;""),0.7,0),IF(AND($L$3="Women/Femmes",$P$4="L6"),IF(AND(C10&lt;&gt;"",OR(B10="8-1&lt;",B10="801&lt;")),0.5,0),IF(AND($L$3="Women/Femmes",$P$4="Se"),IF(DUBTWISTS(B10)&gt;2,0.5,0)+IF(DUBTWISTS(B12)&gt;2,0.3,0),0))))</f>
        <v/>
      </c>
      <c r="D14" s="10" t="s">
        <v>16</v>
      </c>
      <c r="E14" s="9"/>
      <c r="G14" s="87" t="s">
        <v>15</v>
      </c>
      <c r="H14" s="88"/>
      <c r="I14" s="24" t="str">
        <f>IF(I13="","",IF($P$4="L2",IF(AND(MID(H10,1,2)="41",I10&lt;&gt;""),0.7,0),IF(AND($L$3="Women/Femmes",$P$4="L6"),IF(AND(I10&lt;&gt;"",OR(H10="8-1&lt;",H10="801&lt;")),0.5,0),IF(AND($L$3="Women/Femmes",$P$4="Se"),IF(DUBTWISTS(H10)&gt;2,0.5,0)+IF(DUBTWISTS(H12)&gt;2,0.3,0),0))))</f>
        <v/>
      </c>
      <c r="J14" s="10" t="s">
        <v>16</v>
      </c>
      <c r="K14" s="11"/>
      <c r="M14" s="85" t="s">
        <v>15</v>
      </c>
      <c r="N14" s="86"/>
      <c r="O14" s="24" t="str">
        <f>IF(O13="","",IF($P$4="L2",IF(AND(MID(N10,1,2)="41",O10&lt;&gt;""),0.7,0),IF(AND($L$3="Women/Femmes",$P$4="L6"),IF(AND(O10&lt;&gt;"",OR(N10="8-1&lt;",N10="801&lt;")),0.5,0),IF(AND($L$3="Women/Femmes",$P$4="Se"),IF(DUBTWISTS(N10)&gt;2,0.5,0)+IF(DUBTWISTS(N12)&gt;2,0.3,0),0))))</f>
        <v/>
      </c>
      <c r="P14" s="10" t="s">
        <v>16</v>
      </c>
      <c r="Q14" s="9"/>
      <c r="S14" s="85" t="s">
        <v>15</v>
      </c>
      <c r="T14" s="86"/>
      <c r="U14" s="24" t="str">
        <f>IF(U13="","",IF($P$4="L2",IF(AND(MID(T10,1,2)="41",U10&lt;&gt;""),0.7,0),IF(AND($L$3="Women/Femmes",$P$4="L6"),IF(AND(U10&lt;&gt;"",OR(T10="8-1&lt;",T10="801&lt;")),0.5,0),IF(AND($L$3="Women/Femmes",$P$4="Se"),IF(DUBTWISTS(T10)&gt;2,0.5,0)+IF(DUBTWISTS(T12)&gt;2,0.3,0),0))))</f>
        <v/>
      </c>
      <c r="V14" s="61" t="s">
        <v>16</v>
      </c>
      <c r="W14" s="62"/>
      <c r="X14" s="63"/>
      <c r="Y14" s="11"/>
      <c r="Z14" s="40"/>
      <c r="AA14" s="40"/>
      <c r="AB14" s="39"/>
      <c r="AC14" s="39"/>
      <c r="AD14" s="39"/>
      <c r="AE14" s="39"/>
      <c r="AF14" s="39"/>
      <c r="AG14" s="40"/>
      <c r="AH14" s="40"/>
      <c r="AI14" s="40"/>
      <c r="AJ14" s="40"/>
      <c r="AK14" s="40"/>
      <c r="AL14" s="40"/>
    </row>
    <row r="15" spans="1:38" s="2" customFormat="1" ht="20.25" customHeight="1" thickBot="1" x14ac:dyDescent="0.25">
      <c r="A15" s="94" t="s">
        <v>9</v>
      </c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40"/>
      <c r="AA15" s="40"/>
      <c r="AB15" s="39"/>
      <c r="AC15" s="39"/>
      <c r="AD15" s="39"/>
      <c r="AE15" s="39"/>
      <c r="AF15" s="39"/>
      <c r="AG15" s="40"/>
      <c r="AH15" s="40"/>
      <c r="AI15" s="40"/>
      <c r="AJ15" s="40"/>
      <c r="AK15" s="40"/>
      <c r="AL15" s="40"/>
    </row>
    <row r="16" spans="1:38" ht="24" customHeight="1" x14ac:dyDescent="0.2">
      <c r="A16" s="44" t="s">
        <v>21</v>
      </c>
      <c r="B16" s="45"/>
      <c r="C16" s="45"/>
      <c r="D16" s="45"/>
      <c r="E16" s="46"/>
      <c r="G16" s="44" t="s">
        <v>21</v>
      </c>
      <c r="H16" s="45"/>
      <c r="I16" s="45"/>
      <c r="J16" s="45"/>
      <c r="K16" s="46"/>
      <c r="M16" s="44" t="s">
        <v>21</v>
      </c>
      <c r="N16" s="45"/>
      <c r="O16" s="45"/>
      <c r="P16" s="45"/>
      <c r="Q16" s="46"/>
      <c r="S16" s="44" t="s">
        <v>21</v>
      </c>
      <c r="T16" s="45"/>
      <c r="U16" s="45"/>
      <c r="V16" s="45"/>
      <c r="W16" s="45"/>
      <c r="X16" s="45"/>
      <c r="Y16" s="46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</row>
    <row r="17" spans="1:38" ht="16" customHeight="1" x14ac:dyDescent="0.2">
      <c r="A17" s="29" t="str">
        <f>IF(B17&lt;&gt;"","r","")</f>
        <v/>
      </c>
      <c r="B17" s="80" t="str">
        <f>IF($P$4="L1","Element 0.2 or higher",IF($P$4="L2","Two saltos (one prelim pass)",IF($P$4="L3","Two saltos or one double",IF($P$4="L4","Salto to salto or better",IF($P$4="L5","One double salto",IF(OR($P$4="L6",$P$4="Ju"),"One double salto",""))))))</f>
        <v/>
      </c>
      <c r="C17" s="80"/>
      <c r="D17" s="80"/>
      <c r="E17" s="81"/>
      <c r="G17" s="29" t="str">
        <f>IF(H17&lt;&gt;"","r","")</f>
        <v/>
      </c>
      <c r="H17" s="80" t="str">
        <f>IF(P4="L1","Element 0.2 or higher",IF($P$4="L2","Two saltos (one prelim pass)",IF($P$4="L3","Two saltos or one double",IF($P$4="L5","Salto to salto or better",IF($P$4="L5","One double salto",IF(OR($P$4="L6",$P$4="Ju"),"One double salto",""))))))</f>
        <v/>
      </c>
      <c r="I17" s="80"/>
      <c r="J17" s="80"/>
      <c r="K17" s="81"/>
      <c r="M17" s="29" t="str">
        <f>IF(N17&lt;&gt;"","r","")</f>
        <v/>
      </c>
      <c r="N17" s="80" t="str">
        <f>IF(P4="L1","Element 0.2 or higher",IF($P$4="L2","Two saltos (one finals pass)",IF(OR($P$4="L3",$P$4="L4"),"Two saltos or one double",IF($P$4="L5","Element 1.2 or higher",IF(OR($P$4="L6",$P$4="Ju"),"One double salto","")))))</f>
        <v/>
      </c>
      <c r="O17" s="80"/>
      <c r="P17" s="80"/>
      <c r="Q17" s="81"/>
      <c r="S17" s="29" t="str">
        <f>IF(T17&lt;&gt;"","r","")</f>
        <v/>
      </c>
      <c r="T17" s="80" t="str">
        <f>IF(P4="L1","Element 0.2 or higher",IF($P$4="L2","Two saltos (one finals pass)",IF(OR($P$4="L3",$P$4="L4"),"Two saltos or one double",IF($P$4="L5","Element 1.2 or higher",IF(OR($P$4="L6",$P$4="Ju"),"One double salto","")))))</f>
        <v/>
      </c>
      <c r="U17" s="80"/>
      <c r="V17" s="80"/>
      <c r="W17" s="80"/>
      <c r="X17" s="80"/>
      <c r="Y17" s="81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</row>
    <row r="18" spans="1:38" ht="16" thickBot="1" x14ac:dyDescent="0.25">
      <c r="A18" s="31" t="str">
        <f>IF(B18&lt;&gt;"","r","")</f>
        <v/>
      </c>
      <c r="B18" s="47" t="str">
        <f>IF($P$4="L2","Element 0.7 or higher",IF($P$4="L3","Element 0.9 or higher (one prelim pass)",IF($P$4="L4","Element 0.9 or higher",IF($P$4="Ju","Double to double (three across four passes)",""))))</f>
        <v/>
      </c>
      <c r="C18" s="47"/>
      <c r="D18" s="47"/>
      <c r="E18" s="48"/>
      <c r="G18" s="31" t="str">
        <f>IF(H18&lt;&gt;"","r","")</f>
        <v/>
      </c>
      <c r="H18" s="47" t="str">
        <f>IF($P$4="L2","Element 0.7 or higher",IF($P$4="L3","Element 0.9 or higher (one prelim pass)",IF($P$4="L4","Element 0.9 or higher",IF($P$4="Ju","Double to double (three across four passes)",""))))</f>
        <v/>
      </c>
      <c r="I18" s="47"/>
      <c r="J18" s="47"/>
      <c r="K18" s="48"/>
      <c r="M18" s="31" t="str">
        <f>IF(N18&lt;&gt;"","r","")</f>
        <v/>
      </c>
      <c r="N18" s="47" t="str">
        <f>IF($P$4="L2","One salto",IF($P$4="L3","Element 0.9 or higher (one finals pass)",IF($P$4="L4","Element 0.9 or higher",IF($P$4="Ju","Double to double (three across four passes)",""))))</f>
        <v/>
      </c>
      <c r="O18" s="47"/>
      <c r="P18" s="47"/>
      <c r="Q18" s="48"/>
      <c r="S18" s="31" t="str">
        <f>IF(T18&lt;&gt;"","r","")</f>
        <v/>
      </c>
      <c r="T18" s="47" t="str">
        <f>IF($P$4="L2","One salto",IF($P$4="L3","Element 0.9 or higher (one finals pass)",IF($P$4="L4","Element 0.9 or higher",IF($P$4="Ju","Double to double (three across four passes)",""))))</f>
        <v/>
      </c>
      <c r="U18" s="47"/>
      <c r="V18" s="47"/>
      <c r="W18" s="47"/>
      <c r="X18" s="47"/>
      <c r="Y18" s="48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</row>
    <row r="19" spans="1:38" x14ac:dyDescent="0.2">
      <c r="A19" s="44" t="s">
        <v>25</v>
      </c>
      <c r="B19" s="45"/>
      <c r="C19" s="45"/>
      <c r="D19" s="45"/>
      <c r="E19" s="46"/>
      <c r="G19" s="44" t="s">
        <v>25</v>
      </c>
      <c r="H19" s="45"/>
      <c r="I19" s="45"/>
      <c r="J19" s="45"/>
      <c r="K19" s="46"/>
      <c r="M19" s="44" t="s">
        <v>25</v>
      </c>
      <c r="N19" s="45"/>
      <c r="O19" s="45"/>
      <c r="P19" s="45"/>
      <c r="Q19" s="46"/>
      <c r="S19" s="44" t="s">
        <v>25</v>
      </c>
      <c r="T19" s="45"/>
      <c r="U19" s="45"/>
      <c r="V19" s="45"/>
      <c r="W19" s="45"/>
      <c r="X19" s="45"/>
      <c r="Y19" s="46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</row>
    <row r="20" spans="1:38" ht="20" thickBot="1" x14ac:dyDescent="0.3">
      <c r="A20" s="31" t="str">
        <f>IF(B20&lt;&gt;"","r","")</f>
        <v/>
      </c>
      <c r="B20" s="47" t="str">
        <f>IF($P$4="L4","Double (two across four passes)",IF(AND($L$3="Women/Femmes",$P$4="L6"),"Double to double (three across four passes)",""))</f>
        <v/>
      </c>
      <c r="C20" s="47"/>
      <c r="D20" s="47"/>
      <c r="E20" s="48"/>
      <c r="F20" s="2"/>
      <c r="G20" s="31" t="str">
        <f>IF(H20&lt;&gt;"","r","")</f>
        <v/>
      </c>
      <c r="H20" s="47" t="str">
        <f>IF($P$4="L4","Double (two across four passes)",IF(AND($L$3="Women/Femmes",$P$4="L6"),"Double to double (three across four passes)",""))</f>
        <v/>
      </c>
      <c r="I20" s="47"/>
      <c r="J20" s="47"/>
      <c r="K20" s="48"/>
      <c r="L20" s="3"/>
      <c r="M20" s="31" t="str">
        <f>IF(N20&lt;&gt;"","r","")</f>
        <v/>
      </c>
      <c r="N20" s="47" t="str">
        <f>IF($P$4="L4","Double (two across four passes)",IF(AND($L$3="Women/Femmes",$P$4="L6"),"Double to double (three across four passes)",""))</f>
        <v/>
      </c>
      <c r="O20" s="47"/>
      <c r="P20" s="47"/>
      <c r="Q20" s="48"/>
      <c r="R20" s="30"/>
      <c r="S20" s="31" t="str">
        <f>IF(T20&lt;&gt;"","r","")</f>
        <v/>
      </c>
      <c r="T20" s="47" t="str">
        <f>IF($P$4="L4","Double (two across four passes)",IF(AND($L$3="Women/Femmes",$P$4="L6"),"Double to double (three across four passes)",""))</f>
        <v/>
      </c>
      <c r="U20" s="47"/>
      <c r="V20" s="47"/>
      <c r="W20" s="47"/>
      <c r="X20" s="47"/>
      <c r="Y20" s="48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</row>
    <row r="21" spans="1:38" x14ac:dyDescent="0.2"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</row>
    <row r="22" spans="1:38" x14ac:dyDescent="0.2">
      <c r="B22" s="32" t="str">
        <f>IF(OR(SUMPRODUCT(--(B10:B12&lt;&gt;""),--(C10:C12="")),SUMPRODUCT(--(H10:H12&lt;&gt;""),--(I10:I12="")),SUMPRODUCT(--(N10:N12&lt;&gt;""),--(O10:O12="")),SUMPRODUCT(--(T10:T12&lt;&gt;""),--(U10:U12=""))),"Repetitions","")</f>
        <v/>
      </c>
      <c r="D22" s="32" t="str">
        <f>IF(COUNTIF(C10:C12,"N/A")+COUNTIF(I10:I12,"N/A")+COUNTIF(O10:O12,"N/A")+COUNTIF(U10:U12,"N/A"),"Unknown Skills","")</f>
        <v/>
      </c>
      <c r="H22" t="str">
        <f>IF(OR(AND(C13&lt;&gt;"",C13&lt;V3),AND(I13&lt;&gt;"",I13&lt;V3),AND(O13&lt;&gt;"",O13&lt;V3),AND(U13&lt;&gt;"",U13&lt;V3)),"Under Min","")</f>
        <v/>
      </c>
      <c r="J22" t="str">
        <f>IF(AND(X3&lt;&gt;"∞",OR(AND(C13&lt;&gt;"",C13&gt;X3),AND(I13&lt;&gt;"",I13&gt;X3),AND(O13&lt;&gt;"",O13&gt;X3),AND(U13&lt;&gt;"",U13&gt;X3))),"Over Max","")</f>
        <v/>
      </c>
      <c r="N22" t="str">
        <f>IF(AND(OR($P$4="L5",$P$4="L6",$P$4="Ju",$P$4="Se"),OR(NUMFLIPS(B10)&lt;3,NUMFLIPS(B11)&lt;3,NUMFLIPS(B12)&lt;3,NUMFLIPS(H10)&lt;3,NUMFLIPS(H11)&lt;3,NUMFLIPS(H12)&lt;3,NUMFLIPS(N10)&lt;3,NUMFLIPS(N11)&lt;3,NUMFLIPS(N12)&lt;3,NUMFLIPS(T10)&lt;3,NUMFLIPS(T11)&lt;3,NUMFLIPS(T12)&lt;3)),"&lt; 270˚","")</f>
        <v/>
      </c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</row>
    <row r="23" spans="1:38" x14ac:dyDescent="0.2"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</row>
    <row r="24" spans="1:38" x14ac:dyDescent="0.2">
      <c r="B24" t="s">
        <v>27</v>
      </c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</row>
    <row r="25" spans="1:38" x14ac:dyDescent="0.2"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</row>
    <row r="26" spans="1:38" x14ac:dyDescent="0.2"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</row>
    <row r="27" spans="1:38" x14ac:dyDescent="0.2"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</row>
    <row r="28" spans="1:38" x14ac:dyDescent="0.2"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</row>
    <row r="29" spans="1:38" x14ac:dyDescent="0.2"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</row>
    <row r="30" spans="1:38" x14ac:dyDescent="0.2"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</row>
    <row r="31" spans="1:38" x14ac:dyDescent="0.2"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</row>
    <row r="32" spans="1:38" x14ac:dyDescent="0.2"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</row>
    <row r="33" spans="26:38" x14ac:dyDescent="0.2"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</row>
    <row r="34" spans="26:38" x14ac:dyDescent="0.2"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</row>
    <row r="35" spans="26:38" x14ac:dyDescent="0.2"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</row>
    <row r="36" spans="26:38" x14ac:dyDescent="0.2"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</row>
    <row r="37" spans="26:38" x14ac:dyDescent="0.2"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</row>
    <row r="38" spans="26:38" x14ac:dyDescent="0.2"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</row>
    <row r="39" spans="26:38" x14ac:dyDescent="0.2"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</row>
    <row r="40" spans="26:38" x14ac:dyDescent="0.2"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</row>
    <row r="41" spans="26:38" x14ac:dyDescent="0.2"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</row>
    <row r="42" spans="26:38" x14ac:dyDescent="0.2"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</row>
    <row r="43" spans="26:38" x14ac:dyDescent="0.2"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</row>
    <row r="44" spans="26:38" x14ac:dyDescent="0.2"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</row>
    <row r="45" spans="26:38" x14ac:dyDescent="0.2"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</row>
    <row r="46" spans="26:38" x14ac:dyDescent="0.2"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</row>
  </sheetData>
  <sheetProtection algorithmName="SHA-512" hashValue="41BnrkQLye62x3WLpmkXb9KPxtMYCdZVVsbVS55MbTmjvBxVBvgP96qvGX9qeojrCUhR/1T4YRpmJ2UQvAhAQg==" saltValue="cepcrLIh50g3naLc6BZfbA==" spinCount="100000" sheet="1" objects="1" scenarios="1"/>
  <mergeCells count="58">
    <mergeCell ref="S3:T3"/>
    <mergeCell ref="A1:Y1"/>
    <mergeCell ref="A15:Y15"/>
    <mergeCell ref="A6:E7"/>
    <mergeCell ref="G6:K7"/>
    <mergeCell ref="D8:E8"/>
    <mergeCell ref="G8:I8"/>
    <mergeCell ref="J8:K8"/>
    <mergeCell ref="L3:N3"/>
    <mergeCell ref="M9:N9"/>
    <mergeCell ref="S9:T9"/>
    <mergeCell ref="M14:N14"/>
    <mergeCell ref="S14:T14"/>
    <mergeCell ref="M13:N13"/>
    <mergeCell ref="S13:T13"/>
    <mergeCell ref="S2:T2"/>
    <mergeCell ref="B17:E17"/>
    <mergeCell ref="B18:E18"/>
    <mergeCell ref="H17:K17"/>
    <mergeCell ref="H18:K18"/>
    <mergeCell ref="G3:J3"/>
    <mergeCell ref="B3:D3"/>
    <mergeCell ref="A13:B13"/>
    <mergeCell ref="G13:H13"/>
    <mergeCell ref="A9:B9"/>
    <mergeCell ref="G9:H9"/>
    <mergeCell ref="A8:C8"/>
    <mergeCell ref="A16:E16"/>
    <mergeCell ref="G16:K16"/>
    <mergeCell ref="G14:H14"/>
    <mergeCell ref="A14:B14"/>
    <mergeCell ref="D10:D12"/>
    <mergeCell ref="N17:Q17"/>
    <mergeCell ref="T17:Y17"/>
    <mergeCell ref="N18:Q18"/>
    <mergeCell ref="T18:Y18"/>
    <mergeCell ref="P8:Q8"/>
    <mergeCell ref="S8:U8"/>
    <mergeCell ref="M6:Q7"/>
    <mergeCell ref="S6:Y7"/>
    <mergeCell ref="M8:O8"/>
    <mergeCell ref="V8:Y8"/>
    <mergeCell ref="M16:Q16"/>
    <mergeCell ref="S16:Y16"/>
    <mergeCell ref="V9:X9"/>
    <mergeCell ref="J10:J12"/>
    <mergeCell ref="P10:P12"/>
    <mergeCell ref="V10:X12"/>
    <mergeCell ref="V13:X13"/>
    <mergeCell ref="V14:X14"/>
    <mergeCell ref="S19:Y19"/>
    <mergeCell ref="T20:Y20"/>
    <mergeCell ref="A19:E19"/>
    <mergeCell ref="B20:E20"/>
    <mergeCell ref="G19:K19"/>
    <mergeCell ref="H20:K20"/>
    <mergeCell ref="M19:Q19"/>
    <mergeCell ref="N20:Q20"/>
  </mergeCells>
  <conditionalFormatting sqref="B10:C12">
    <cfRule type="expression" dxfId="18" priority="16">
      <formula>IF($C10="N/A",1,0)</formula>
    </cfRule>
    <cfRule type="expression" dxfId="17" priority="24">
      <formula>IF(AND($B10&lt;&gt;"",$C10=""),1,0)</formula>
    </cfRule>
    <cfRule type="expression" dxfId="16" priority="4">
      <formula>IF(AND(OR($P$3="L5-Novice 16U",$P$3="L5-Novice 17+",$P$3="L6-Espoir 17U",$P$3="L6-Espoir 18+",$P$3="Junior",$P$3="Senior"),NUMFLIPS($B10)&lt;3),1,0)</formula>
    </cfRule>
  </conditionalFormatting>
  <conditionalFormatting sqref="H10:I12">
    <cfRule type="expression" dxfId="15" priority="15">
      <formula>IF($I10="N/A",1,0)</formula>
    </cfRule>
    <cfRule type="expression" dxfId="14" priority="23">
      <formula>IF(AND($H10&lt;&gt;"",$I10=""),1,0)</formula>
    </cfRule>
    <cfRule type="expression" dxfId="13" priority="3">
      <formula>IF(AND(OR($P$3="L5-Novice 16U",$P$3="L5-Novice 17+",$P$3="L6-Espoir 17U",$P$3="L6-Espoir 18+",$P$3="Junior",$P$3="Senior"),NUMFLIPS($H10)&lt;3),1,0)</formula>
    </cfRule>
  </conditionalFormatting>
  <conditionalFormatting sqref="N10:O12">
    <cfRule type="expression" dxfId="12" priority="14">
      <formula>IF($O10="N/A",1,0)</formula>
    </cfRule>
    <cfRule type="expression" dxfId="11" priority="20">
      <formula>IF(AND($N10&lt;&gt;"",$O10=""),1,0)</formula>
    </cfRule>
    <cfRule type="expression" dxfId="10" priority="2">
      <formula>IF(AND(OR($P$3="L5-Novice 16U",$P$3="L5-Novice 17+",$P$3="L6-Espoir 17U",$P$3="L6-Espoir 18+",$P$3="Junior",$P$3="Senior"),NUMFLIPS($N10)&lt;3),1,0)</formula>
    </cfRule>
  </conditionalFormatting>
  <conditionalFormatting sqref="C13 I13 O13 U13">
    <cfRule type="expression" dxfId="9" priority="9">
      <formula>IF(AND(C$13&lt;&gt;"",SUM(C10:C12)&lt;$V$3),1,0)</formula>
    </cfRule>
    <cfRule type="expression" dxfId="8" priority="6">
      <formula>IF(AND(C$13&lt;&gt;"",SUM(C10:C12)&gt;$X$3),1,0)</formula>
    </cfRule>
  </conditionalFormatting>
  <conditionalFormatting sqref="B22">
    <cfRule type="expression" dxfId="7" priority="17">
      <formula>IF($B$22="Repetitions",1,0)</formula>
    </cfRule>
  </conditionalFormatting>
  <conditionalFormatting sqref="D22">
    <cfRule type="expression" dxfId="6" priority="10">
      <formula>IF($D$22="Unknown Skills",1,0)</formula>
    </cfRule>
  </conditionalFormatting>
  <conditionalFormatting sqref="T10:U12">
    <cfRule type="expression" dxfId="5" priority="26">
      <formula>IF($U10="N/A",1,0)</formula>
    </cfRule>
    <cfRule type="expression" dxfId="4" priority="27">
      <formula>IF(AND($T10&lt;&gt;"",$U10=""),1,0)</formula>
    </cfRule>
    <cfRule type="expression" dxfId="3" priority="1">
      <formula>IF(AND(OR($P$3="L5-Novice 16U",$P$3="L5-Novice 17+",$P$3="L6-Espoir 17U",$P$3="L6-Espoir 18+",$P$3="Junior",$P$3="Senior"),NUMFLIPS($T10)&lt;3),1,0)</formula>
    </cfRule>
  </conditionalFormatting>
  <conditionalFormatting sqref="J22">
    <cfRule type="expression" dxfId="2" priority="8">
      <formula>IF($J$22="Over Max",1,0)</formula>
    </cfRule>
  </conditionalFormatting>
  <conditionalFormatting sqref="H22">
    <cfRule type="expression" dxfId="1" priority="7">
      <formula>IF($H$22="Under Min",1,0)</formula>
    </cfRule>
  </conditionalFormatting>
  <conditionalFormatting sqref="N22">
    <cfRule type="expression" dxfId="0" priority="5">
      <formula>IF($N$22="&lt; 270˚",1,0)</formula>
    </cfRule>
  </conditionalFormatting>
  <dataValidations count="4">
    <dataValidation type="list" allowBlank="1" showInputMessage="1" showErrorMessage="1" sqref="L3:N3" xr:uid="{00000000-0002-0000-0000-000001000000}">
      <formula1>"Choose:,Women/Femmes, Men/Hommes"</formula1>
    </dataValidation>
    <dataValidation type="list" allowBlank="1" showInputMessage="1" sqref="B10:B12 H10:H12 N10:N12 T10:T12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S3:T3" xr:uid="{92373597-0D0B-D14D-9FD3-0A3FB29BE837}">
      <formula1>"Choose:,CAN,FIG"</formula1>
    </dataValidation>
    <dataValidation type="list" allowBlank="1" showInputMessage="1" showErrorMessage="1" sqref="P3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&amp;R&amp;"Calibri,Regular"&amp;K0000002020 Version 1.1 (Dec 2019)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26</xdr:col>
                    <xdr:colOff>12700</xdr:colOff>
                    <xdr:row>1</xdr:row>
                    <xdr:rowOff>38100</xdr:rowOff>
                  </from>
                  <to>
                    <xdr:col>26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2019-12-19T06:15:04Z</dcterms:modified>
  <cp:category/>
</cp:coreProperties>
</file>