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DD Sheets/2019/Electronic/v1.5/"/>
    </mc:Choice>
  </mc:AlternateContent>
  <xr:revisionPtr revIDLastSave="0" documentId="13_ncr:1_{3D108045-B5A8-AA4C-A8F2-04CE56303F3F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_xlnm.Print_Area" localSheetId="0">'DD DMT'!$A$1:$Y$26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21" i="1" l="1"/>
  <c r="S21" i="1" s="1"/>
  <c r="N21" i="1"/>
  <c r="M21" i="1" s="1"/>
  <c r="T20" i="1"/>
  <c r="S20" i="1" s="1"/>
  <c r="N20" i="1"/>
  <c r="M20" i="1" s="1"/>
  <c r="H21" i="1"/>
  <c r="G21" i="1" s="1"/>
  <c r="H20" i="1"/>
  <c r="G20" i="1" s="1"/>
  <c r="B21" i="1"/>
  <c r="A21" i="1" s="1"/>
  <c r="B20" i="1"/>
  <c r="A20" i="1" s="1"/>
  <c r="H18" i="1" l="1"/>
  <c r="B18" i="1"/>
  <c r="H17" i="1" l="1"/>
  <c r="B17" i="1"/>
  <c r="T18" i="1" l="1"/>
  <c r="N18" i="1"/>
  <c r="T23" i="1"/>
  <c r="N23" i="1"/>
  <c r="H23" i="1"/>
  <c r="B23" i="1"/>
  <c r="N25" i="1"/>
  <c r="T17" i="1" l="1"/>
  <c r="N17" i="1"/>
  <c r="S23" i="1"/>
  <c r="M23" i="1"/>
  <c r="G23" i="1"/>
  <c r="A23" i="1"/>
  <c r="I10" i="1"/>
  <c r="O11" i="1" l="1"/>
  <c r="O12" i="1"/>
  <c r="O10" i="1"/>
  <c r="I11" i="1"/>
  <c r="U12" i="1"/>
  <c r="I12" i="1"/>
  <c r="C12" i="1"/>
  <c r="U11" i="1"/>
  <c r="C11" i="1"/>
  <c r="C10" i="1"/>
  <c r="U10" i="1"/>
  <c r="V3" i="1"/>
  <c r="X3" i="1"/>
  <c r="I13" i="1" l="1"/>
  <c r="I14" i="1" s="1"/>
  <c r="U13" i="1"/>
  <c r="U14" i="1" s="1"/>
  <c r="O13" i="1"/>
  <c r="O14" i="1" s="1"/>
  <c r="C13" i="1"/>
  <c r="C14" i="1" s="1"/>
  <c r="H25" i="1" l="1"/>
  <c r="J25" i="1"/>
  <c r="D25" i="1" l="1"/>
  <c r="B25" i="1"/>
  <c r="S17" i="1" l="1"/>
  <c r="M17" i="1"/>
  <c r="G17" i="1"/>
  <c r="A17" i="1"/>
  <c r="S18" i="1"/>
  <c r="M18" i="1"/>
  <c r="G18" i="1"/>
  <c r="A18" i="1"/>
</calcChain>
</file>

<file path=xl/sharedStrings.xml><?xml version="1.0" encoding="utf-8"?>
<sst xmlns="http://schemas.openxmlformats.org/spreadsheetml/2006/main" count="77" uniqueCount="29">
  <si>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</si>
  <si>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</si>
  <si>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</si>
  <si>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</si>
  <si>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</si>
  <si>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</si>
  <si>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</si>
  <si>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</si>
  <si>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</si>
  <si>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</si>
  <si>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</si>
  <si>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</si>
  <si>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</si>
  <si>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</si>
  <si>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</si>
  <si>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</si>
  <si>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</si>
  <si>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</si>
  <si>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</si>
  <si>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</si>
  <si>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</si>
  <si>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</si>
  <si>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</si>
  <si>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</si>
  <si>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</si>
  <si>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</si>
  <si>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</si>
  <si>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</si>
  <si>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>Bonus: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</si>
</sst>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7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49" fontId="3" fillId="0" borderId="0" xfId="0" applyNumberFormat="1" applyFont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0" xfId="0" applyFont="1" applyBorder="1"/>
    <xf numFmtId="0" fontId="5" fillId="0" borderId="0" xfId="0" applyFont="1" applyFill="1" applyBorder="1" applyAlignment="1">
      <alignment vertical="center"/>
    </xf>
    <xf numFmtId="0" fontId="9" fillId="0" borderId="16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0" fillId="0" borderId="22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3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3" fillId="3" borderId="0" xfId="0" applyFont="1" applyFill="1" applyBorder="1" applyAlignment="1" applyProtection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left"/>
    </xf>
  </cellXfs>
  <cellStyles count="1">
    <cellStyle name="Normal" xfId="0" builtinId="0"/>
  </cellStyles>
  <dxfs count="22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</xdr:row>
          <xdr:rowOff>38100</xdr:rowOff>
        </xdr:from>
        <xdr:to>
          <xdr:col>26</xdr:col>
          <xdr:colOff>850900</xdr:colOff>
          <xdr:row>2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7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5.83203125" customWidth="1"/>
    <col min="5" max="5" width="5.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5.83203125" customWidth="1"/>
    <col min="11" max="11" width="5.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5.83203125" customWidth="1"/>
    <col min="17" max="17" width="5.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6.83203125" customWidth="1"/>
    <col min="23" max="23" width="2.83203125" customWidth="1"/>
    <col min="24" max="24" width="6.83203125" customWidth="1"/>
    <col min="25" max="25" width="5.5" customWidth="1"/>
  </cols>
  <sheetData>
    <row r="1" spans="1:28" ht="22" thickBot="1" x14ac:dyDescent="0.3">
      <c r="A1" s="86" t="s">
        <v>14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7"/>
      <c r="S1" s="87"/>
      <c r="T1" s="87"/>
      <c r="U1" s="87"/>
      <c r="V1" s="87"/>
      <c r="W1" s="87"/>
      <c r="X1" s="87"/>
      <c r="Y1" s="87"/>
    </row>
    <row r="2" spans="1:28" ht="19" customHeight="1" x14ac:dyDescent="0.2">
      <c r="A2" s="13"/>
      <c r="B2" s="14" t="s">
        <v>17</v>
      </c>
      <c r="C2" s="14"/>
      <c r="D2" s="14"/>
      <c r="E2" s="14"/>
      <c r="F2" s="14"/>
      <c r="G2" s="14" t="s">
        <v>18</v>
      </c>
      <c r="H2" s="14"/>
      <c r="I2" s="14"/>
      <c r="J2" s="14"/>
      <c r="K2" s="14"/>
      <c r="L2" s="14" t="s">
        <v>19</v>
      </c>
      <c r="M2" s="14"/>
      <c r="N2" s="14"/>
      <c r="O2" s="14"/>
      <c r="P2" s="14" t="s">
        <v>20</v>
      </c>
      <c r="Q2" s="14"/>
      <c r="R2" s="14"/>
      <c r="S2" s="95" t="s">
        <v>26</v>
      </c>
      <c r="T2" s="95"/>
      <c r="U2" s="14"/>
      <c r="V2" s="14" t="s">
        <v>24</v>
      </c>
      <c r="W2" s="14"/>
      <c r="X2" s="14" t="s">
        <v>22</v>
      </c>
      <c r="Y2" s="15"/>
    </row>
    <row r="3" spans="1:28" ht="19" customHeight="1" x14ac:dyDescent="0.2">
      <c r="A3" s="16"/>
      <c r="B3" s="76"/>
      <c r="C3" s="78"/>
      <c r="D3" s="78"/>
      <c r="E3" s="17"/>
      <c r="F3" s="17"/>
      <c r="G3" s="76"/>
      <c r="H3" s="77"/>
      <c r="I3" s="77"/>
      <c r="J3" s="77"/>
      <c r="L3" s="85" t="s">
        <v>23</v>
      </c>
      <c r="M3" s="85"/>
      <c r="N3" s="85"/>
      <c r="O3" s="17"/>
      <c r="P3" s="29" t="s">
        <v>23</v>
      </c>
      <c r="Q3" s="17"/>
      <c r="R3" s="17"/>
      <c r="S3" s="85" t="s">
        <v>23</v>
      </c>
      <c r="T3" s="85"/>
      <c r="U3" s="17"/>
      <c r="V3" s="36" t="str">
        <f>MINDMTDD(L3,P3)</f>
        <v/>
      </c>
      <c r="W3" s="35"/>
      <c r="X3" s="36" t="str">
        <f>MAXDMTDD(L3,P3)</f>
        <v/>
      </c>
      <c r="Y3" s="18"/>
      <c r="AB3" s="34"/>
    </row>
    <row r="4" spans="1:28" ht="13.5" customHeight="1" thickBot="1" x14ac:dyDescent="0.25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1"/>
    </row>
    <row r="5" spans="1:28" ht="7.5" customHeight="1" thickBot="1" x14ac:dyDescent="0.25"/>
    <row r="6" spans="1:28" s="2" customFormat="1" ht="15" customHeight="1" x14ac:dyDescent="0.25">
      <c r="A6" s="89" t="s">
        <v>10</v>
      </c>
      <c r="B6" s="90"/>
      <c r="C6" s="90"/>
      <c r="D6" s="90"/>
      <c r="E6" s="91"/>
      <c r="G6" s="58" t="s">
        <v>11</v>
      </c>
      <c r="H6" s="59"/>
      <c r="I6" s="59"/>
      <c r="J6" s="59"/>
      <c r="K6" s="60"/>
      <c r="L6" s="3"/>
      <c r="M6" s="58" t="s">
        <v>13</v>
      </c>
      <c r="N6" s="59"/>
      <c r="O6" s="59"/>
      <c r="P6" s="59"/>
      <c r="Q6" s="60"/>
      <c r="R6" s="3"/>
      <c r="S6" s="58" t="s">
        <v>12</v>
      </c>
      <c r="T6" s="59"/>
      <c r="U6" s="59"/>
      <c r="V6" s="59"/>
      <c r="W6" s="64"/>
      <c r="X6" s="64"/>
      <c r="Y6" s="60"/>
    </row>
    <row r="7" spans="1:28" ht="13.5" customHeight="1" x14ac:dyDescent="0.25">
      <c r="A7" s="92"/>
      <c r="B7" s="93"/>
      <c r="C7" s="93"/>
      <c r="D7" s="93"/>
      <c r="E7" s="94"/>
      <c r="G7" s="61"/>
      <c r="H7" s="62"/>
      <c r="I7" s="62"/>
      <c r="J7" s="62"/>
      <c r="K7" s="63"/>
      <c r="L7" s="4"/>
      <c r="M7" s="61"/>
      <c r="N7" s="62"/>
      <c r="O7" s="62"/>
      <c r="P7" s="62"/>
      <c r="Q7" s="63"/>
      <c r="R7" s="4"/>
      <c r="S7" s="61"/>
      <c r="T7" s="62"/>
      <c r="U7" s="62"/>
      <c r="V7" s="62"/>
      <c r="W7" s="65"/>
      <c r="X7" s="65"/>
      <c r="Y7" s="63"/>
    </row>
    <row r="8" spans="1:28" s="6" customFormat="1" ht="20.25" customHeight="1" x14ac:dyDescent="0.2">
      <c r="A8" s="66" t="s">
        <v>4</v>
      </c>
      <c r="B8" s="67"/>
      <c r="C8" s="67"/>
      <c r="D8" s="68" t="s">
        <v>5</v>
      </c>
      <c r="E8" s="70"/>
      <c r="G8" s="66" t="s">
        <v>4</v>
      </c>
      <c r="H8" s="67"/>
      <c r="I8" s="67"/>
      <c r="J8" s="68" t="s">
        <v>5</v>
      </c>
      <c r="K8" s="70"/>
      <c r="M8" s="66" t="s">
        <v>4</v>
      </c>
      <c r="N8" s="67"/>
      <c r="O8" s="67"/>
      <c r="P8" s="68" t="s">
        <v>5</v>
      </c>
      <c r="Q8" s="70"/>
      <c r="S8" s="66" t="s">
        <v>4</v>
      </c>
      <c r="T8" s="67"/>
      <c r="U8" s="67"/>
      <c r="V8" s="68" t="s">
        <v>5</v>
      </c>
      <c r="W8" s="69"/>
      <c r="X8" s="69"/>
      <c r="Y8" s="70"/>
    </row>
    <row r="9" spans="1:28" s="2" customFormat="1" ht="16" thickBot="1" x14ac:dyDescent="0.25">
      <c r="A9" s="83" t="s">
        <v>3</v>
      </c>
      <c r="B9" s="84"/>
      <c r="C9" s="12" t="s">
        <v>1</v>
      </c>
      <c r="D9" s="8"/>
      <c r="E9" s="7" t="s">
        <v>1</v>
      </c>
      <c r="G9" s="83" t="s">
        <v>3</v>
      </c>
      <c r="H9" s="84"/>
      <c r="I9" s="12" t="s">
        <v>1</v>
      </c>
      <c r="J9" s="8"/>
      <c r="K9" s="7" t="s">
        <v>1</v>
      </c>
      <c r="M9" s="83" t="s">
        <v>3</v>
      </c>
      <c r="N9" s="84"/>
      <c r="O9" s="12" t="s">
        <v>1</v>
      </c>
      <c r="P9" s="8"/>
      <c r="Q9" s="7" t="s">
        <v>1</v>
      </c>
      <c r="S9" s="83" t="s">
        <v>3</v>
      </c>
      <c r="T9" s="84"/>
      <c r="U9" s="12" t="s">
        <v>1</v>
      </c>
      <c r="V9" s="71"/>
      <c r="W9" s="72"/>
      <c r="X9" s="73"/>
      <c r="Y9" s="7" t="s">
        <v>1</v>
      </c>
      <c r="AB9" s="28"/>
    </row>
    <row r="10" spans="1:28" ht="23.5" customHeight="1" thickTop="1" x14ac:dyDescent="0.2">
      <c r="A10" s="25" t="s">
        <v>6</v>
      </c>
      <c r="B10" s="22"/>
      <c r="C10" s="27" t="str">
        <f>IF(B10="","",DMTDD(B10,S3))</f>
        <v/>
      </c>
      <c r="D10" s="43"/>
      <c r="E10" s="5"/>
      <c r="G10" s="25" t="s">
        <v>6</v>
      </c>
      <c r="H10" s="22"/>
      <c r="I10" s="27" t="str">
        <f>IF(H10="","",IF(H10=B10,"",DMTDD(H10,S3)))</f>
        <v/>
      </c>
      <c r="J10" s="43"/>
      <c r="K10" s="5"/>
      <c r="M10" s="25" t="s">
        <v>6</v>
      </c>
      <c r="N10" s="22"/>
      <c r="O10" s="27" t="str">
        <f>IF(N10="","",IF(OR(N10=B10,N10=H10),"",DMTDD(N10,S3)))</f>
        <v/>
      </c>
      <c r="P10" s="43"/>
      <c r="Q10" s="5"/>
      <c r="S10" s="25" t="s">
        <v>6</v>
      </c>
      <c r="T10" s="22"/>
      <c r="U10" s="27" t="str">
        <f>IF(T10="","",IF(OR(T10=B10,T10=H10,T10=N10),"",DMTDD(T10,S3)))</f>
        <v/>
      </c>
      <c r="V10" s="46"/>
      <c r="W10" s="47"/>
      <c r="X10" s="48"/>
      <c r="Y10" s="5"/>
    </row>
    <row r="11" spans="1:28" ht="25.5" customHeight="1" x14ac:dyDescent="0.2">
      <c r="A11" s="25" t="s">
        <v>8</v>
      </c>
      <c r="B11" s="22"/>
      <c r="C11" s="27" t="str">
        <f>IF(B11="","",DMTDD(B11,S3))</f>
        <v/>
      </c>
      <c r="D11" s="44"/>
      <c r="E11" s="5"/>
      <c r="G11" s="25" t="s">
        <v>8</v>
      </c>
      <c r="H11" s="22"/>
      <c r="I11" s="27" t="str">
        <f>IF(H11="","",IF(H11=B11,"",DMTDD(H11,S3)))</f>
        <v/>
      </c>
      <c r="J11" s="44"/>
      <c r="K11" s="5"/>
      <c r="M11" s="25" t="s">
        <v>8</v>
      </c>
      <c r="N11" s="22"/>
      <c r="O11" s="27" t="str">
        <f>IF(N11="","",IF(OR(N11=B11,N11=H11),"",DMTDD(N11,S4)))</f>
        <v/>
      </c>
      <c r="P11" s="44"/>
      <c r="Q11" s="5"/>
      <c r="S11" s="25" t="s">
        <v>8</v>
      </c>
      <c r="T11" s="22"/>
      <c r="U11" s="27" t="str">
        <f>IF(T11="","",IF(OR(T11=B11,T11=H11,T11=N11),"",DMTDD(T11,S4)))</f>
        <v/>
      </c>
      <c r="V11" s="49"/>
      <c r="W11" s="50"/>
      <c r="X11" s="51"/>
      <c r="Y11" s="5"/>
    </row>
    <row r="12" spans="1:28" ht="24.75" customHeight="1" x14ac:dyDescent="0.2">
      <c r="A12" s="26" t="s">
        <v>7</v>
      </c>
      <c r="B12" s="23"/>
      <c r="C12" s="27" t="str">
        <f>IF(B12="","",DMTDD(B12,S3))</f>
        <v/>
      </c>
      <c r="D12" s="45"/>
      <c r="E12" s="1"/>
      <c r="G12" s="26" t="s">
        <v>7</v>
      </c>
      <c r="H12" s="23"/>
      <c r="I12" s="27" t="str">
        <f>IF(H12="","",IF(H12=B12,"",DMTDD(H12,S3)))</f>
        <v/>
      </c>
      <c r="J12" s="45"/>
      <c r="K12" s="1"/>
      <c r="M12" s="26" t="s">
        <v>7</v>
      </c>
      <c r="N12" s="23"/>
      <c r="O12" s="27" t="str">
        <f>IF(N12="","",IF(OR(N12=B12,N12=H12),"",DMTDD(N12,S5)))</f>
        <v/>
      </c>
      <c r="P12" s="45"/>
      <c r="Q12" s="1"/>
      <c r="S12" s="26" t="s">
        <v>7</v>
      </c>
      <c r="T12" s="23"/>
      <c r="U12" s="27" t="str">
        <f>IF(T12="","",IF(OR(T12=B12,T12=H12,T12=N12),"",DMTDD(T12,S5)))</f>
        <v/>
      </c>
      <c r="V12" s="52"/>
      <c r="W12" s="53"/>
      <c r="X12" s="54"/>
      <c r="Y12" s="1"/>
    </row>
    <row r="13" spans="1:28" s="2" customFormat="1" ht="20.25" customHeight="1" x14ac:dyDescent="0.2">
      <c r="A13" s="79" t="s">
        <v>0</v>
      </c>
      <c r="B13" s="80"/>
      <c r="C13" s="37" t="str">
        <f>IF(SUM(C10:C12)=0,"",SUM(C10:C12))</f>
        <v/>
      </c>
      <c r="D13" s="10" t="s">
        <v>2</v>
      </c>
      <c r="E13" s="9"/>
      <c r="G13" s="81" t="s">
        <v>0</v>
      </c>
      <c r="H13" s="82"/>
      <c r="I13" s="37" t="str">
        <f>IF(SUM(I10:I12)=0,"",SUM(I10:I12))</f>
        <v/>
      </c>
      <c r="J13" s="10" t="s">
        <v>2</v>
      </c>
      <c r="K13" s="11"/>
      <c r="M13" s="79" t="s">
        <v>0</v>
      </c>
      <c r="N13" s="80"/>
      <c r="O13" s="37" t="str">
        <f>IF(SUM(O10:O12)=0,"",SUM(O10:O12))</f>
        <v/>
      </c>
      <c r="P13" s="10" t="s">
        <v>2</v>
      </c>
      <c r="Q13" s="9"/>
      <c r="S13" s="81" t="s">
        <v>0</v>
      </c>
      <c r="T13" s="82"/>
      <c r="U13" s="37" t="str">
        <f>IF(SUM(U10:U12)=0,"",SUM(U10:U12))</f>
        <v/>
      </c>
      <c r="V13" s="55" t="s">
        <v>2</v>
      </c>
      <c r="W13" s="56"/>
      <c r="X13" s="57"/>
      <c r="Y13" s="11"/>
      <c r="AA13" s="28"/>
    </row>
    <row r="14" spans="1:28" s="2" customFormat="1" ht="19" customHeight="1" x14ac:dyDescent="0.2">
      <c r="A14" s="79" t="s">
        <v>15</v>
      </c>
      <c r="B14" s="80"/>
      <c r="C14" s="24" t="str">
        <f>IF(C13="","",IF(OR($P$3="L2 13U",$P$3="L2 14+"),IF(AND(MID(B10,1,2)="41",C10&lt;&gt;""),0.7,0),IF(AND($L$3="Women/Femmes",OR($P$3="L6-Espoir 17U",$P$3="L6-Espoir 18+")),IF(AND(C10&lt;&gt;"",OR(B10="8-1&lt;",B10="801&lt;")),0.5,0),IF(AND($L$3="Women/Femmes",$P$3="Senior"),IF(DUBTWISTS(B10)&gt;2,0.5,0)+IF(DUBTWISTS(B12)&gt;2,0.3,0),0))))</f>
        <v/>
      </c>
      <c r="D14" s="10" t="s">
        <v>16</v>
      </c>
      <c r="E14" s="9"/>
      <c r="G14" s="81" t="s">
        <v>15</v>
      </c>
      <c r="H14" s="82"/>
      <c r="I14" s="24" t="str">
        <f>IF(I13="","",IF(OR($P$3="L2 13U",$P$3="L2 14+"),IF(AND(MID(H10,1,2)="41",I10&lt;&gt;""),0.7,0),IF(AND($L$3="Women/Femmes",OR($P$3="L6-Espoir 17U",$P$3="L6-Espoir 18+")),IF(AND(I10&lt;&gt;"",OR(H10="8-1&lt;",H10="801&lt;")),0.5,0),IF(AND($L$3="Women/Femmes",$P$3="Senior"),IF(DUBTWISTS(H10)&gt;2,0.5,0)+IF(DUBTWISTS(H12)&gt;2,0.3,0),0))))</f>
        <v/>
      </c>
      <c r="J14" s="10" t="s">
        <v>16</v>
      </c>
      <c r="K14" s="11"/>
      <c r="M14" s="79" t="s">
        <v>15</v>
      </c>
      <c r="N14" s="80"/>
      <c r="O14" s="24" t="str">
        <f>IF(O13="","",IF(OR($P$3="L2 13U",$P$3="L2 14+"),IF(AND(MID(N10,1,2)="41",O10&lt;&gt;""),0.7,0),IF(AND($L$3="Women/Femmes",OR($P$3="L6-Espoir 17U",$P$3="L6-Espoir 18+")),IF(AND(O10&lt;&gt;"",OR(N10="8-1&lt;",N10="801&lt;")),0.5,0),IF(AND($L$3="Women/Femmes",$P$3="Senior"),IF(DUBTWISTS(N10)&gt;2,0.5,0)+IF(DUBTWISTS(N12)&gt;2,0.3,0),0))))</f>
        <v/>
      </c>
      <c r="P14" s="10" t="s">
        <v>16</v>
      </c>
      <c r="Q14" s="9"/>
      <c r="S14" s="79" t="s">
        <v>15</v>
      </c>
      <c r="T14" s="80"/>
      <c r="U14" s="24" t="str">
        <f>IF(U13="","",IF(OR($P$3="L2 13U",$P$3="L2 14+"),IF(AND(MID(T10,1,2)="41",U10&lt;&gt;""),0.7,0),IF(AND($L$3="Women/Femmes",OR($P$3="L6-Espoir 17U",$P$3="L6-Espoir 18+")),IF(AND(U10&lt;&gt;"",OR(T10="8-1&lt;",T10="801&lt;")),0.5,0),IF(AND($L$3="Women/Femmes",$P$3="Senior"),IF(DUBTWISTS(T10)&gt;2,0.5,0)+IF(DUBTWISTS(T12)&gt;2,0.3,0),0))))</f>
        <v/>
      </c>
      <c r="V14" s="55" t="s">
        <v>16</v>
      </c>
      <c r="W14" s="56"/>
      <c r="X14" s="57"/>
      <c r="Y14" s="11"/>
    </row>
    <row r="15" spans="1:28" s="2" customFormat="1" ht="20.25" customHeight="1" thickBot="1" x14ac:dyDescent="0.25">
      <c r="A15" s="88" t="s">
        <v>9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</row>
    <row r="16" spans="1:28" ht="24" customHeight="1" x14ac:dyDescent="0.2">
      <c r="A16" s="38" t="s">
        <v>21</v>
      </c>
      <c r="B16" s="39"/>
      <c r="C16" s="39"/>
      <c r="D16" s="39"/>
      <c r="E16" s="40"/>
      <c r="G16" s="38" t="s">
        <v>21</v>
      </c>
      <c r="H16" s="39"/>
      <c r="I16" s="39"/>
      <c r="J16" s="39"/>
      <c r="K16" s="40"/>
      <c r="M16" s="38" t="s">
        <v>21</v>
      </c>
      <c r="N16" s="39"/>
      <c r="O16" s="39"/>
      <c r="P16" s="39"/>
      <c r="Q16" s="40"/>
      <c r="S16" s="38" t="s">
        <v>21</v>
      </c>
      <c r="T16" s="39"/>
      <c r="U16" s="39"/>
      <c r="V16" s="39"/>
      <c r="W16" s="39"/>
      <c r="X16" s="39"/>
      <c r="Y16" s="40"/>
    </row>
    <row r="17" spans="1:25" ht="16" customHeight="1" x14ac:dyDescent="0.2">
      <c r="A17" s="30" t="str">
        <f>IF(B17&lt;&gt;"","r","")</f>
        <v/>
      </c>
      <c r="B17" s="74" t="str">
        <f>IF(OR(P3="L1 12U",P3="L1 13+"),"Element 0.2 or higher",IF(OR($P$3="L2 13U",$P$3="L2 14+"),"Two saltos (one prelim pass)",IF(OR($P$3="L3 14U",$P$3="L3 15+",$P$3="L4 15U",$P$3="L4 16+"),"Two saltos or one double",IF(OR($P$3="L5-Novice 16U",$P$3="L5-Novice 17+"),"One double salto",IF(OR($P$3="L6-Espoir 17U",$P$3="L6-Espoir 18+",$P$3="Junior"),"One double salto","")))))</f>
        <v/>
      </c>
      <c r="C17" s="74"/>
      <c r="D17" s="74"/>
      <c r="E17" s="75"/>
      <c r="G17" s="30" t="str">
        <f>IF(H17&lt;&gt;"","r","")</f>
        <v/>
      </c>
      <c r="H17" s="74" t="str">
        <f>IF(OR(P3="L1 12U",P3="L1 13+"),"Element 0.2 or higher",IF(OR($P$3="L2 13U",$P$3="L2 14+"),"Two saltos (one prelim pass)",IF(OR($P$3="L3 14U",$P$3="L3 15+",$P$3="L4 15U",$P$3="L4 16+"),"Two saltos or one double",IF(OR($P$3="L5-Novice 16U",$P$3="L5-Novice 17+"),"One double salto",IF(OR($P$3="L6-Espoir 17U",$P$3="L6-Espoir 18+",$P$3="Junior"),"One double salto","")))))</f>
        <v/>
      </c>
      <c r="I17" s="74"/>
      <c r="J17" s="74"/>
      <c r="K17" s="75"/>
      <c r="M17" s="30" t="str">
        <f>IF(N17&lt;&gt;"","r","")</f>
        <v/>
      </c>
      <c r="N17" s="74" t="str">
        <f>IF(OR(P3="L1 12U",P3="L1 13+"),"Element 0.2 or higher",IF(OR($P$3="L2 13U",$P$3="L2 14+"),"Two saltos (one finals pass)",IF(OR($P$3="L3 14U",$P$3="L3 15+",$P$3="L4 15U",$P$3="L4 16+"),"Two saltos or one double",IF(OR($P$3="L5-Novice 16U",$P$3="L5-Novice 17+"),"Element 1.2 or higher",IF(OR($P$3="L6-Espoir 17U",$P$3="L6-Espoir 18+",$P$3="Junior"),"One double salto","")))))</f>
        <v/>
      </c>
      <c r="O17" s="74"/>
      <c r="P17" s="74"/>
      <c r="Q17" s="75"/>
      <c r="S17" s="30" t="str">
        <f>IF(T17&lt;&gt;"","r","")</f>
        <v/>
      </c>
      <c r="T17" s="74" t="str">
        <f>IF(OR(P3="L1 12U",P3="L1 13+"),"Element 0.2 or higher",IF(OR($P$3="L2 13U",$P$3="L2 14+"),"Two saltos (one finals pass)",IF(OR($P$3="L3 14U",$P$3="L3 15+",$P$3="L4 15U",$P$3="L4 16+"),"Two saltos or one double",IF(OR($P$3="L5-Novice 16U",$P$3="L5-Novice 17+"),"Element 1.2 or higher",IF(OR($P$3="L6-Espoir 17U",$P$3="L6-Espoir 18+",$P$3="Junior"),"One double salto","")))))</f>
        <v/>
      </c>
      <c r="U17" s="74"/>
      <c r="V17" s="74"/>
      <c r="W17" s="74"/>
      <c r="X17" s="74"/>
      <c r="Y17" s="75"/>
    </row>
    <row r="18" spans="1:25" ht="16" thickBot="1" x14ac:dyDescent="0.25">
      <c r="A18" s="32" t="str">
        <f>IF(B18&lt;&gt;"","r","")</f>
        <v/>
      </c>
      <c r="B18" s="41" t="str">
        <f>IF(OR(P3="L1 12U",P3="L1 13+"),"",IF(OR($P$3="L2 13U",$P$3="L2 14+"),"Element 0.7 or higher",IF(OR($P$3="L3 14U",$P$3="L3 15+"),"Element 0.9 or higher (one prelim pass)",IF(OR($P$3="L4 15U",$P$3="L4 16+"),"Element 0.9 or higher",IF(OR($P$3="L5-Novice 16U",$P$3="L5-Novice 17+"),"",IF($P$3="Junior","Double to double (three across four passes)",""))))))</f>
        <v/>
      </c>
      <c r="C18" s="41"/>
      <c r="D18" s="41"/>
      <c r="E18" s="42"/>
      <c r="G18" s="32" t="str">
        <f>IF(H18&lt;&gt;"","r","")</f>
        <v/>
      </c>
      <c r="H18" s="41" t="str">
        <f>IF(OR(P3="L1 12U",P3="L1 13+"),"",IF(OR($P$3="L2 13U",$P$3="L2 14+"),"Element 0.7 or higher",IF(OR($P$3="L3 14U",$P$3="L3 15+"),"Element 0.9 or higher (one prelim pass)",IF(OR($P$3="L4 15U",$P$3="L4 16+"),"Element 0.9 or higher",IF(OR($P$3="L5-Novice 16U",$P$3="L5-Novice 17+"),"",IF($P$3="Junior","Double to double (three across four passes)",""))))))</f>
        <v/>
      </c>
      <c r="I18" s="41"/>
      <c r="J18" s="41"/>
      <c r="K18" s="42"/>
      <c r="M18" s="32" t="str">
        <f>IF(N18&lt;&gt;"","r","")</f>
        <v/>
      </c>
      <c r="N18" s="41" t="str">
        <f>IF(OR(P3="L1 12U",P3="L1 13+"),"",IF(OR($P$3="L2 13U",$P$3="L2 14+"),"One salto",IF(OR($P$3="L3 14U",$P$3="L3 15+"),"Element 0.9 or higher (one finals pass)",IF(OR($P$3="L4 15U",$P$3="L4 16+"),"Element 0.9 or higher",IF($P$3="Junior","Double to double (three across four passes)","")))))</f>
        <v/>
      </c>
      <c r="O18" s="41"/>
      <c r="P18" s="41"/>
      <c r="Q18" s="42"/>
      <c r="S18" s="32" t="str">
        <f>IF(T18&lt;&gt;"","r","")</f>
        <v/>
      </c>
      <c r="T18" s="41" t="str">
        <f>IF(OR(P3="L1 12U",P3="L1 13+"),"",IF(OR($P$3="L2 13U",$P$3="L2 14+"),"One salto",IF(OR($P$3="L3 14U",$P$3="L3 15+"),"Element 0.9 or higher (one finals pass)",IF(OR($P$3="L4 15U",$P$3="L4 16+"),"Element 0.9 or higher",IF($P$3="Junior","Double to double (three across four passes)","")))))</f>
        <v/>
      </c>
      <c r="U18" s="41"/>
      <c r="V18" s="41"/>
      <c r="W18" s="41"/>
      <c r="X18" s="41"/>
      <c r="Y18" s="42"/>
    </row>
    <row r="19" spans="1:25" x14ac:dyDescent="0.2">
      <c r="A19" s="38" t="s">
        <v>28</v>
      </c>
      <c r="B19" s="39"/>
      <c r="C19" s="39"/>
      <c r="D19" s="39"/>
      <c r="E19" s="40"/>
      <c r="G19" s="38" t="s">
        <v>28</v>
      </c>
      <c r="H19" s="39"/>
      <c r="I19" s="39"/>
      <c r="J19" s="39"/>
      <c r="K19" s="40"/>
      <c r="M19" s="38" t="s">
        <v>28</v>
      </c>
      <c r="N19" s="39"/>
      <c r="O19" s="39"/>
      <c r="P19" s="39"/>
      <c r="Q19" s="40"/>
      <c r="S19" s="38" t="s">
        <v>28</v>
      </c>
      <c r="T19" s="39"/>
      <c r="U19" s="39"/>
      <c r="V19" s="39"/>
      <c r="W19" s="39"/>
      <c r="X19" s="39"/>
      <c r="Y19" s="40"/>
    </row>
    <row r="20" spans="1:25" x14ac:dyDescent="0.2">
      <c r="A20" s="30" t="str">
        <f>IF(B20&lt;&gt;"","r","")</f>
        <v/>
      </c>
      <c r="B20" s="74" t="str">
        <f>IF(OR($P$3="L2 13U",$P$3="L2 14+"),"0.7 for barani mount",IF(AND($L$3="Women/Femmes",OR($P$3="L6-Espoir 17U",$P$3="L6-Espoir 18+")),"0.5 for 8-1&lt; mount",IF(AND($L$3="Women/Femmes",$P$3="Senior"),"0.5 for double with 1.5 twist (mount)","")))</f>
        <v/>
      </c>
      <c r="C20" s="74"/>
      <c r="D20" s="74"/>
      <c r="E20" s="75"/>
      <c r="G20" s="30" t="str">
        <f>IF(H20&lt;&gt;"","r","")</f>
        <v/>
      </c>
      <c r="H20" s="74" t="str">
        <f>IF(OR($P$3="L2 13U",$P$3="L2 14+"),"0.7 for barani mount",IF(AND($L$3="Women/Femmes",OR($P$3="L6-Espoir 17U",$P$3="L6-Espoir 18+")),"0.5 for 8-1&lt; mount",IF(AND($L$3="Women/Femmes",$P$3="Senior"),"0.5 for double with 1.5 twist (mount)","")))</f>
        <v/>
      </c>
      <c r="I20" s="74"/>
      <c r="J20" s="74"/>
      <c r="K20" s="75"/>
      <c r="M20" s="30" t="str">
        <f>IF(N20&lt;&gt;"","r","")</f>
        <v/>
      </c>
      <c r="N20" s="74" t="str">
        <f>IF(OR($P$3="L2 13U",$P$3="L2 14+"),"0.7 for barani mount",IF(AND($L$3="Women/Femmes",OR($P$3="L6-Espoir 17U",$P$3="L6-Espoir 18+")),"0.5 for 8-1&lt; mount",IF(AND($L$3="Women/Femmes",$P$3="Senior"),"0.5 for double with 1.5 twist (mount)","")))</f>
        <v/>
      </c>
      <c r="O20" s="74"/>
      <c r="P20" s="74"/>
      <c r="Q20" s="75"/>
      <c r="S20" s="30" t="str">
        <f>IF(T20&lt;&gt;"","r","")</f>
        <v/>
      </c>
      <c r="T20" s="74" t="str">
        <f>IF(OR($P$3="L2 13U",$P$3="L2 14+"),"0.7 for barani mount",IF(AND($L$3="Women/Femmes",OR($P$3="L6-Espoir 17U",$P$3="L6-Espoir 18+")),"0.5 for 8-1&lt; mount",IF(AND($L$3="Women/Femmes",$P$3="Senior"),"0.5 for double with 1.5 twist (mount)","")))</f>
        <v/>
      </c>
      <c r="U20" s="74"/>
      <c r="V20" s="74"/>
      <c r="W20" s="74"/>
      <c r="X20" s="74"/>
      <c r="Y20" s="75"/>
    </row>
    <row r="21" spans="1:25" ht="16" thickBot="1" x14ac:dyDescent="0.25">
      <c r="A21" s="32" t="str">
        <f>IF(B21&lt;&gt;"","r","")</f>
        <v/>
      </c>
      <c r="B21" s="41" t="str">
        <f>IF(AND($L$3="Women/Femmes",$P$3="Senior"),"0.3 for double with 1.5 twist (dismount)","")</f>
        <v/>
      </c>
      <c r="C21" s="41"/>
      <c r="D21" s="41"/>
      <c r="E21" s="42"/>
      <c r="G21" s="32" t="str">
        <f>IF(H21&lt;&gt;"","r","")</f>
        <v/>
      </c>
      <c r="H21" s="41" t="str">
        <f>IF(AND($L$3="Women/Femmes",$P$3="Senior"),"0.3 for double with 1.5 twist (dismount)","")</f>
        <v/>
      </c>
      <c r="I21" s="41"/>
      <c r="J21" s="41"/>
      <c r="K21" s="42"/>
      <c r="M21" s="32" t="str">
        <f>IF(N21&lt;&gt;"","r","")</f>
        <v/>
      </c>
      <c r="N21" s="41" t="str">
        <f>IF(AND($L$3="Women/Femmes",$P$3="Senior"),"0.3 for double with 1.5 twist (dismount)","")</f>
        <v/>
      </c>
      <c r="O21" s="41"/>
      <c r="P21" s="41"/>
      <c r="Q21" s="42"/>
      <c r="S21" s="32" t="str">
        <f>IF(T21&lt;&gt;"","r","")</f>
        <v/>
      </c>
      <c r="T21" s="41" t="str">
        <f>IF(AND($L$3="Women/Femmes",$P$3="Senior"),"0.3 for double with 1.5 twist (dismount)","")</f>
        <v/>
      </c>
      <c r="U21" s="41"/>
      <c r="V21" s="41"/>
      <c r="W21" s="41"/>
      <c r="X21" s="41"/>
      <c r="Y21" s="42"/>
    </row>
    <row r="22" spans="1:25" x14ac:dyDescent="0.2">
      <c r="A22" s="38" t="s">
        <v>25</v>
      </c>
      <c r="B22" s="39"/>
      <c r="C22" s="39"/>
      <c r="D22" s="39"/>
      <c r="E22" s="40"/>
      <c r="G22" s="38" t="s">
        <v>25</v>
      </c>
      <c r="H22" s="39"/>
      <c r="I22" s="39"/>
      <c r="J22" s="39"/>
      <c r="K22" s="40"/>
      <c r="M22" s="38" t="s">
        <v>25</v>
      </c>
      <c r="N22" s="39"/>
      <c r="O22" s="39"/>
      <c r="P22" s="39"/>
      <c r="Q22" s="40"/>
      <c r="S22" s="38" t="s">
        <v>25</v>
      </c>
      <c r="T22" s="39"/>
      <c r="U22" s="39"/>
      <c r="V22" s="39"/>
      <c r="W22" s="39"/>
      <c r="X22" s="39"/>
      <c r="Y22" s="40"/>
    </row>
    <row r="23" spans="1:25" ht="20" thickBot="1" x14ac:dyDescent="0.3">
      <c r="A23" s="32" t="str">
        <f>IF(B23&lt;&gt;"","r","")</f>
        <v/>
      </c>
      <c r="B23" s="41" t="str">
        <f>IF(OR($P$3="L4 15U",$P$3="L4 16+"),"Double (two across four passes)",IF(AND($L$3="Women/Femmes",OR($P$3="L6-Espoir 17U",$P$3="L6-Espoir 18+")),"Double to double (three across four passes)",""))</f>
        <v/>
      </c>
      <c r="C23" s="41"/>
      <c r="D23" s="41"/>
      <c r="E23" s="42"/>
      <c r="F23" s="2"/>
      <c r="G23" s="32" t="str">
        <f>IF(H23&lt;&gt;"","r","")</f>
        <v/>
      </c>
      <c r="H23" s="41" t="str">
        <f>IF(OR($P$3="L4 15U",$P$3="L4 16+"),"Double (two across four passes)",IF(AND($L$3="Women/Femmes",OR($P$3="L6-Espoir 17U",$P$3="L6-Espoir 18+")),"Double to double (three across four passes)",""))</f>
        <v/>
      </c>
      <c r="I23" s="41"/>
      <c r="J23" s="41"/>
      <c r="K23" s="42"/>
      <c r="L23" s="3"/>
      <c r="M23" s="32" t="str">
        <f>IF(N23&lt;&gt;"","r","")</f>
        <v/>
      </c>
      <c r="N23" s="41" t="str">
        <f>IF(OR($P$3="L4 15U",$P$3="L4 16+"),"Double (two across four passes)",IF(AND($L$3="Women/Femmes",OR($P$3="L6-Espoir 17U",$P$3="L6-Espoir 18+")),"Double to double (three across four passes)",""))</f>
        <v/>
      </c>
      <c r="O23" s="41"/>
      <c r="P23" s="41"/>
      <c r="Q23" s="42"/>
      <c r="R23" s="31"/>
      <c r="S23" s="32" t="str">
        <f>IF(T23&lt;&gt;"","r","")</f>
        <v/>
      </c>
      <c r="T23" s="41" t="str">
        <f>IF(OR($P$3="L4 15U",$P$3="L4 16+"),"Double (two across four passes)",IF(AND($L$3="Women/Femmes",OR($P$3="L6-Espoir 17U",$P$3="L6-Espoir 18+")),"Double to double (three across four passes)",""))</f>
        <v/>
      </c>
      <c r="U23" s="41"/>
      <c r="V23" s="41"/>
      <c r="W23" s="41"/>
      <c r="X23" s="41"/>
      <c r="Y23" s="42"/>
    </row>
    <row r="25" spans="1:25" x14ac:dyDescent="0.2">
      <c r="B25" s="33" t="str">
        <f>IF(OR(SUMPRODUCT(--(B10:B12&lt;&gt;""),--(C10:C12="")),SUMPRODUCT(--(H10:H12&lt;&gt;""),--(I10:I12="")),SUMPRODUCT(--(N10:N12&lt;&gt;""),--(O10:O12="")),SUMPRODUCT(--(T10:T12&lt;&gt;""),--(U10:U12=""))),"Repetitions","")</f>
        <v/>
      </c>
      <c r="D25" s="33" t="str">
        <f>IF(COUNTIF(C10:C12,"N/A")+COUNTIF(I10:I12,"N/A")+COUNTIF(O10:O12,"N/A")+COUNTIF(U10:U12,"N/A"),"Unknown Skills","")</f>
        <v/>
      </c>
      <c r="H25" t="str">
        <f>IF(OR(AND(C13&lt;&gt;"",C13&lt;V3),AND(I13&lt;&gt;"",I13&lt;V3),AND(O13&lt;&gt;"",O13&lt;V3),AND(U13&lt;&gt;"",U13&lt;V3)),"Under Min","")</f>
        <v/>
      </c>
      <c r="J25" t="str">
        <f>IF(AND(X3&lt;&gt;"∞",OR(AND(C13&lt;&gt;"",C13&gt;X3),AND(I13&lt;&gt;"",I13&gt;X3),AND(O13&lt;&gt;"",O13&gt;X3),AND(U13&lt;&gt;"",U13&gt;X3))),"Over Max","")</f>
        <v/>
      </c>
      <c r="N25" t="str">
        <f>IF(AND(OR($P$3="L5-Novice 16U",$P$3="L5-Novice 17+",$P$3="L6-Espoir 17U",$P$3="L6-Espoir 18+",$P$3="Junior",$P$3="Senior"),OR(NUMFLIPS(B10)&lt;3,NUMFLIPS(B11)&lt;3,NUMFLIPS(B12)&lt;3,NUMFLIPS(H10)&lt;3,NUMFLIPS(H11)&lt;3,NUMFLIPS(H12)&lt;3,NUMFLIPS(N10)&lt;3,NUMFLIPS(N11)&lt;3,NUMFLIPS(N12)&lt;3,NUMFLIPS(T10)&lt;3,NUMFLIPS(T11)&lt;3,NUMFLIPS(T12)&lt;3)),"&lt; 270˚","")</f>
        <v/>
      </c>
    </row>
    <row r="27" spans="1:25" x14ac:dyDescent="0.2">
      <c r="B27" t="s">
        <v>27</v>
      </c>
    </row>
  </sheetData>
  <sheetProtection algorithmName="SHA-512" hashValue="TsLvATXNnf82ibIUS08UEeW9vP9CzINQvQdwnT2Uz8/jHG8IaW1x6tQ6gBrg3CKnZu/340/YXmWKLBv/IaKhDA==" saltValue="/0nI/e1u3hQyxdBuCpZgjw==" spinCount="100000" sheet="1" objects="1" scenarios="1"/>
  <mergeCells count="70">
    <mergeCell ref="S19:Y19"/>
    <mergeCell ref="T21:Y21"/>
    <mergeCell ref="B20:E20"/>
    <mergeCell ref="H20:K20"/>
    <mergeCell ref="N20:Q20"/>
    <mergeCell ref="T20:Y20"/>
    <mergeCell ref="A19:E19"/>
    <mergeCell ref="B21:E21"/>
    <mergeCell ref="G19:K19"/>
    <mergeCell ref="H21:K21"/>
    <mergeCell ref="M19:Q19"/>
    <mergeCell ref="N21:Q21"/>
    <mergeCell ref="S3:T3"/>
    <mergeCell ref="A1:Y1"/>
    <mergeCell ref="A15:Y15"/>
    <mergeCell ref="A6:E7"/>
    <mergeCell ref="G6:K7"/>
    <mergeCell ref="D8:E8"/>
    <mergeCell ref="G8:I8"/>
    <mergeCell ref="J8:K8"/>
    <mergeCell ref="L3:N3"/>
    <mergeCell ref="M9:N9"/>
    <mergeCell ref="S9:T9"/>
    <mergeCell ref="M14:N14"/>
    <mergeCell ref="S14:T14"/>
    <mergeCell ref="M13:N13"/>
    <mergeCell ref="S13:T13"/>
    <mergeCell ref="S2:T2"/>
    <mergeCell ref="B17:E17"/>
    <mergeCell ref="B18:E18"/>
    <mergeCell ref="H17:K17"/>
    <mergeCell ref="H18:K18"/>
    <mergeCell ref="G3:J3"/>
    <mergeCell ref="B3:D3"/>
    <mergeCell ref="A13:B13"/>
    <mergeCell ref="G13:H13"/>
    <mergeCell ref="A9:B9"/>
    <mergeCell ref="G9:H9"/>
    <mergeCell ref="A8:C8"/>
    <mergeCell ref="A16:E16"/>
    <mergeCell ref="G16:K16"/>
    <mergeCell ref="G14:H14"/>
    <mergeCell ref="A14:B14"/>
    <mergeCell ref="D10:D12"/>
    <mergeCell ref="N17:Q17"/>
    <mergeCell ref="T17:Y17"/>
    <mergeCell ref="N18:Q18"/>
    <mergeCell ref="T18:Y18"/>
    <mergeCell ref="P8:Q8"/>
    <mergeCell ref="S8:U8"/>
    <mergeCell ref="M6:Q7"/>
    <mergeCell ref="S6:Y7"/>
    <mergeCell ref="M8:O8"/>
    <mergeCell ref="V8:Y8"/>
    <mergeCell ref="M16:Q16"/>
    <mergeCell ref="S16:Y16"/>
    <mergeCell ref="V9:X9"/>
    <mergeCell ref="J10:J12"/>
    <mergeCell ref="P10:P12"/>
    <mergeCell ref="V10:X12"/>
    <mergeCell ref="V13:X13"/>
    <mergeCell ref="V14:X14"/>
    <mergeCell ref="S22:Y22"/>
    <mergeCell ref="T23:Y23"/>
    <mergeCell ref="A22:E22"/>
    <mergeCell ref="B23:E23"/>
    <mergeCell ref="G22:K22"/>
    <mergeCell ref="H23:K23"/>
    <mergeCell ref="M22:Q22"/>
    <mergeCell ref="N23:Q23"/>
  </mergeCells>
  <conditionalFormatting sqref="B10:C12">
    <cfRule type="expression" dxfId="21" priority="9">
      <formula>IF(AND(OR($P$3="L5-Novice 16U",$P$3="L5-Novice 17+",$P$3="L6-Espoir 17U",$P$3="L6-Espoir 18+",$P$3="Junior",$P$3="Senior"),NUMFLIPS($B10)&lt;3),1,0)</formula>
    </cfRule>
    <cfRule type="expression" dxfId="20" priority="21">
      <formula>IF($C10="N/A",1,0)</formula>
    </cfRule>
    <cfRule type="expression" dxfId="19" priority="29">
      <formula>IF(AND($B10&lt;&gt;"",$C10=""),1,0)</formula>
    </cfRule>
  </conditionalFormatting>
  <conditionalFormatting sqref="H10:I12">
    <cfRule type="expression" dxfId="18" priority="8">
      <formula>IF(AND(OR($P$3="L5-Novice 16U",$P$3="L5-Novice 17+",$P$3="L6-Espoir 17U",$P$3="L6-Espoir 18+",$P$3="Junior",$P$3="Senior"),NUMFLIPS($H10)&lt;3),1,0)</formula>
    </cfRule>
    <cfRule type="expression" dxfId="17" priority="20">
      <formula>IF($I10="N/A",1,0)</formula>
    </cfRule>
    <cfRule type="expression" dxfId="16" priority="28">
      <formula>IF(AND($H10&lt;&gt;"",$I10=""),1,0)</formula>
    </cfRule>
  </conditionalFormatting>
  <conditionalFormatting sqref="N10:O12">
    <cfRule type="expression" dxfId="15" priority="7">
      <formula>IF(AND(OR($P$3="L5-Novice 16U",$P$3="L5-Novice 17+",$P$3="L6-Espoir 17U",$P$3="L6-Espoir 18+",$P$3="Junior",$P$3="Senior"),NUMFLIPS($N10)&lt;3),1,0)</formula>
    </cfRule>
    <cfRule type="expression" dxfId="14" priority="19">
      <formula>IF($O10="N/A",1,0)</formula>
    </cfRule>
    <cfRule type="expression" dxfId="13" priority="25">
      <formula>IF(AND($N10&lt;&gt;"",$O10=""),1,0)</formula>
    </cfRule>
  </conditionalFormatting>
  <conditionalFormatting sqref="C13 I13 O13 U13">
    <cfRule type="expression" dxfId="12" priority="11">
      <formula>IF(AND(C$13&lt;&gt;"",SUM(C10:C12)&gt;$X$3),1,0)</formula>
    </cfRule>
    <cfRule type="expression" dxfId="11" priority="14">
      <formula>IF(AND(C$13&lt;&gt;"",SUM(C10:C12)&lt;$V$3),1,0)</formula>
    </cfRule>
  </conditionalFormatting>
  <conditionalFormatting sqref="B25">
    <cfRule type="expression" dxfId="10" priority="22">
      <formula>IF($B$25="Repetitions",1,0)</formula>
    </cfRule>
  </conditionalFormatting>
  <conditionalFormatting sqref="D25">
    <cfRule type="expression" dxfId="9" priority="15">
      <formula>IF($D$25="Unknown Skills",1,0)</formula>
    </cfRule>
  </conditionalFormatting>
  <conditionalFormatting sqref="T10:U12">
    <cfRule type="expression" dxfId="8" priority="6">
      <formula>IF(AND(OR($P$3="L5-Novice 16U",$P$3="L5-Novice 17+",$P$3="L6-Espoir 17U",$P$3="L6-Espoir 18+",$P$3="Junior",$P$3="Senior"),NUMFLIPS($T10)&lt;3),1,0)</formula>
    </cfRule>
    <cfRule type="expression" dxfId="7" priority="31">
      <formula>IF($U10="N/A",1,0)</formula>
    </cfRule>
    <cfRule type="expression" dxfId="6" priority="32">
      <formula>IF(AND($T10&lt;&gt;"",$U10=""),1,0)</formula>
    </cfRule>
  </conditionalFormatting>
  <conditionalFormatting sqref="J25">
    <cfRule type="expression" dxfId="5" priority="13">
      <formula>IF($J$25="Over Max",1,0)</formula>
    </cfRule>
  </conditionalFormatting>
  <conditionalFormatting sqref="H25">
    <cfRule type="expression" dxfId="4" priority="12">
      <formula>IF($H$25="Under Min",1,0)</formula>
    </cfRule>
  </conditionalFormatting>
  <conditionalFormatting sqref="N25">
    <cfRule type="expression" dxfId="3" priority="10">
      <formula>IF($N$25="&lt; 270˚",1,0)</formula>
    </cfRule>
  </conditionalFormatting>
  <conditionalFormatting sqref="A16:E18 G16:K18 M16:Q18 S16:Y18">
    <cfRule type="expression" dxfId="2" priority="5">
      <formula>IF(A$17="",1,0)</formula>
    </cfRule>
  </conditionalFormatting>
  <conditionalFormatting sqref="A22:E23 G22:K23 M22:Q23 S22:Y23">
    <cfRule type="expression" dxfId="1" priority="3">
      <formula>IF(A$23="",1,0)</formula>
    </cfRule>
  </conditionalFormatting>
  <conditionalFormatting sqref="A19:E21 G19:K21 M19:Q21 S19:Y21">
    <cfRule type="expression" dxfId="0" priority="1">
      <formula>IF(A$20="",1,0)</formula>
    </cfRule>
  </conditionalFormatting>
  <dataValidations count="4">
    <dataValidation type="list" allowBlank="1" showInputMessage="1" showErrorMessage="1" sqref="P3" xr:uid="{00000000-0002-0000-0000-000000000000}">
      <formula1>"Choose:,L1 12U, L1 13+, L2 13U, L2 14+, L3 14U, L3 15+, L4 15U, L4 16+,L5-Novice 16U, L5-Novice 17+, L6-Espoir 17U, L6-Espoir 18+, Junior, Senior"</formula1>
    </dataValidation>
    <dataValidation type="list" allowBlank="1" showInputMessage="1" showErrorMessage="1" sqref="L3:N3" xr:uid="{00000000-0002-0000-0000-000001000000}">
      <formula1>"Choose:,Women/Femmes, Men/Hommes"</formula1>
    </dataValidation>
    <dataValidation type="list" allowBlank="1" showInputMessage="1" sqref="B10:B12 H10:H12 N10:N12 T10:T1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S3:T3" xr:uid="{92373597-0D0B-D14D-9FD3-0A3FB29BE837}">
      <formula1>"Choose:,CAN,FIG"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&amp;R&amp;"Calibri,Regular"&amp;K0000002019 Version 1.5 (August)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26</xdr:col>
                    <xdr:colOff>12700</xdr:colOff>
                    <xdr:row>1</xdr:row>
                    <xdr:rowOff>38100</xdr:rowOff>
                  </from>
                  <to>
                    <xdr:col>26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DD DMT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2019-08-01T19:45:12Z</dcterms:modified>
  <cp:category/>
</cp:coreProperties>
</file>