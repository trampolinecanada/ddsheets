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Previous Versions/2022/Electronic/v1.2/"/>
    </mc:Choice>
  </mc:AlternateContent>
  <xr:revisionPtr revIDLastSave="0" documentId="13_ncr:1_{D324184C-8DBD-DA43-992C-B51ECAFEFC25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 a="1"/>
  <c r="C13" i="1"/>
  <c r="I13" i="1" a="1"/>
  <c r="I13" i="1"/>
  <c r="I12" i="1" a="1"/>
  <c r="I12" i="1"/>
  <c r="O13" i="1" a="1"/>
  <c r="O13" i="1"/>
  <c r="H20" i="1"/>
  <c r="N19" i="1"/>
  <c r="I28" i="1" a="1"/>
  <c r="I28" i="1"/>
  <c r="I29" i="1" a="1"/>
  <c r="I29" i="1"/>
  <c r="I30" i="1" a="1"/>
  <c r="I30" i="1"/>
  <c r="C30" i="1" a="1"/>
  <c r="C30" i="1"/>
  <c r="C28" i="1" a="1"/>
  <c r="C28" i="1"/>
  <c r="C29" i="1" a="1"/>
  <c r="C29" i="1"/>
  <c r="I14" i="1" a="1"/>
  <c r="I14" i="1"/>
  <c r="C14" i="1" a="1"/>
  <c r="C14" i="1"/>
  <c r="H36" i="1"/>
  <c r="B36" i="1"/>
  <c r="N32" i="1"/>
  <c r="T28" i="1" a="1"/>
  <c r="T28" i="1"/>
  <c r="S28" i="1" a="1"/>
  <c r="S28" i="1"/>
  <c r="T30" i="1" a="1"/>
  <c r="T30" i="1"/>
  <c r="S30" i="1" a="1"/>
  <c r="S30" i="1"/>
  <c r="T29" i="1" a="1"/>
  <c r="T29" i="1"/>
  <c r="S29" i="1" a="1"/>
  <c r="S29" i="1"/>
  <c r="U13" i="1" a="1"/>
  <c r="U13" i="1"/>
  <c r="U14" i="1" a="1"/>
  <c r="U14" i="1"/>
  <c r="U12" i="1" a="1"/>
  <c r="U12" i="1"/>
  <c r="T13" i="1" a="1"/>
  <c r="T13" i="1"/>
  <c r="T14" i="1" a="1"/>
  <c r="T14" i="1"/>
  <c r="T12" i="1" a="1"/>
  <c r="T12" i="1"/>
  <c r="S13" i="1" a="1"/>
  <c r="S13" i="1"/>
  <c r="S14" i="1" a="1"/>
  <c r="S14" i="1"/>
  <c r="S12" i="1" a="1"/>
  <c r="S12" i="1"/>
  <c r="H35" i="1"/>
  <c r="B35" i="1"/>
  <c r="H19" i="1"/>
  <c r="B19" i="1"/>
  <c r="H38" i="1"/>
  <c r="B38" i="1"/>
  <c r="C12" i="1" a="1"/>
  <c r="C12" i="1"/>
  <c r="C15" i="1"/>
  <c r="C16" i="1" a="1"/>
  <c r="C16" i="1"/>
  <c r="O12" i="1" a="1"/>
  <c r="O12" i="1"/>
  <c r="O14" i="1" a="1"/>
  <c r="O14" i="1"/>
  <c r="C31" i="1"/>
  <c r="I31" i="1"/>
  <c r="I15" i="1"/>
  <c r="O15" i="1"/>
  <c r="Q5" i="1"/>
  <c r="N30" i="1"/>
  <c r="O5" i="1"/>
  <c r="N28" i="1"/>
  <c r="N26" i="1" a="1"/>
  <c r="N26" i="1"/>
  <c r="I32" i="1" a="1"/>
  <c r="I32" i="1"/>
  <c r="C32" i="1" a="1"/>
  <c r="C32" i="1"/>
  <c r="O16" i="1" a="1"/>
  <c r="O16" i="1"/>
  <c r="H22" i="1"/>
  <c r="B22" i="1"/>
  <c r="B20" i="1"/>
  <c r="I16" i="1" a="1"/>
  <c r="I16" i="1"/>
  <c r="G38" i="1"/>
  <c r="A38" i="1"/>
  <c r="G36" i="1"/>
  <c r="A36" i="1"/>
  <c r="G35" i="1"/>
  <c r="A35" i="1"/>
  <c r="M22" i="1"/>
  <c r="G22" i="1"/>
  <c r="A22" i="1"/>
  <c r="M19" i="1"/>
  <c r="G19" i="1"/>
  <c r="A19" i="1"/>
  <c r="M20" i="1"/>
  <c r="G20" i="1"/>
  <c r="A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<sst xmlns="http://schemas.openxmlformats.org/spreadsheetml/2006/main" count="93" uniqueCount="30">
  <si>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</si>
  <si>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</si>
  <si>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</si>
  <si>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</si>
  <si>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</si>
  <si>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</si>
  <si>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</si>
  <si>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</si>
  <si>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</si>
  <si>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</si>
  <si>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</si>
  <si>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</si>
  <si>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</si>
  <si>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</si>
  <si>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</si>
  <si>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</si>
  <si>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</si>
  <si>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</si>
  <si>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</si>
  <si>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</si>
  <si>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</si>
  <si>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</si>
  <si>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</si>
  <si>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</si>
  <si>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</si>
  <si>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</si>
  <si>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</si>
  <si>
    <t>1st Pass / 1er passage (prelim.)</t>
  </si>
  <si>
    <t>3rd Pass / 3ème passage (prelim.)</t>
  </si>
  <si>
    <t>Gender/Genre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</si>
</sst>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1" fillId="0" borderId="0" xfId="0" applyFont="1"/>
    <xf numFmtId="0" fontId="0" fillId="0" borderId="0" xfId="0" applyFont="1"/>
    <xf numFmtId="0" fontId="11" fillId="0" borderId="22" xfId="0" applyFont="1" applyBorder="1" applyAlignment="1" applyProtection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Border="1" applyAlignment="1"/>
    <xf numFmtId="0" fontId="12" fillId="0" borderId="0" xfId="0" applyFont="1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0" xfId="0" applyFont="1" applyFill="1" applyBorder="1" applyAlignment="1" applyProtection="1">
      <protection locked="0"/>
    </xf>
    <xf numFmtId="0" fontId="0" fillId="0" borderId="0" xfId="0" applyBorder="1"/>
    <xf numFmtId="0" fontId="0" fillId="0" borderId="18" xfId="0" applyBorder="1"/>
    <xf numFmtId="0" fontId="0" fillId="0" borderId="21" xfId="0" applyBorder="1"/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9" fillId="0" borderId="0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2"/>
    <col min="24" max="25" width="11.5" style="33"/>
  </cols>
  <sheetData>
    <row r="1" spans="1:31" ht="22" thickBot="1" x14ac:dyDescent="0.3">
      <c r="A1" s="66" t="s">
        <v>13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43"/>
      <c r="M2" s="43"/>
      <c r="N2" s="43"/>
      <c r="O2" s="14"/>
      <c r="P2" s="43"/>
      <c r="Q2" s="43"/>
      <c r="R2" s="1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3" spans="1:31" ht="19" customHeight="1" x14ac:dyDescent="0.2">
      <c r="A3" s="16"/>
      <c r="B3" s="79"/>
      <c r="C3" s="79"/>
      <c r="D3" s="79"/>
      <c r="E3" s="17"/>
      <c r="F3" s="17"/>
      <c r="G3" s="79"/>
      <c r="H3" s="80"/>
      <c r="I3" s="80"/>
      <c r="J3" s="80"/>
      <c r="O3" s="17"/>
      <c r="R3" s="18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</row>
    <row r="4" spans="1:31" ht="19" customHeight="1" x14ac:dyDescent="0.2">
      <c r="A4" s="16"/>
      <c r="B4" s="17" t="s">
        <v>29</v>
      </c>
      <c r="C4" s="17"/>
      <c r="D4" s="17"/>
      <c r="E4" s="17"/>
      <c r="F4" s="17"/>
      <c r="G4" s="17" t="s">
        <v>18</v>
      </c>
      <c r="H4" s="17"/>
      <c r="I4" s="17"/>
      <c r="J4" s="17"/>
      <c r="K4" s="49" t="s">
        <v>24</v>
      </c>
      <c r="L4" s="49"/>
      <c r="M4" s="49"/>
      <c r="N4" s="17"/>
      <c r="O4" s="40" t="s">
        <v>22</v>
      </c>
      <c r="P4" s="39"/>
      <c r="Q4" s="40" t="s">
        <v>20</v>
      </c>
      <c r="R4" s="44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ht="19" customHeight="1" x14ac:dyDescent="0.2">
      <c r="B5" s="50" t="s">
        <v>21</v>
      </c>
      <c r="C5" s="50"/>
      <c r="D5" s="41"/>
      <c r="E5" s="42"/>
      <c r="F5" s="42"/>
      <c r="G5" s="50" t="s">
        <v>21</v>
      </c>
      <c r="H5" s="50"/>
      <c r="I5" s="50"/>
      <c r="J5" s="42"/>
      <c r="K5" s="50" t="s">
        <v>21</v>
      </c>
      <c r="L5" s="50"/>
      <c r="M5" s="50"/>
      <c r="O5" s="30" t="str">
        <f>MINDMTDD(B5,LEFT($G$5,2))</f>
        <v/>
      </c>
      <c r="Q5" s="30" t="str">
        <f>MAXDMTDD(B5,LEFT($G$5,2))</f>
        <v/>
      </c>
      <c r="R5" s="44"/>
    </row>
    <row r="6" spans="1:31" ht="13.5" customHeight="1" thickBot="1" x14ac:dyDescent="0.25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34"/>
      <c r="Q6" s="34"/>
      <c r="R6" s="21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ht="7.5" customHeight="1" thickBot="1" x14ac:dyDescent="0.25"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s="2" customFormat="1" ht="15" customHeight="1" x14ac:dyDescent="0.25">
      <c r="A8" s="67" t="s">
        <v>27</v>
      </c>
      <c r="B8" s="68"/>
      <c r="C8" s="68"/>
      <c r="D8" s="68"/>
      <c r="E8" s="69"/>
      <c r="G8" s="73" t="s">
        <v>10</v>
      </c>
      <c r="H8" s="74"/>
      <c r="I8" s="74"/>
      <c r="J8" s="74"/>
      <c r="K8" s="75"/>
      <c r="L8" s="3"/>
      <c r="M8" s="73" t="s">
        <v>28</v>
      </c>
      <c r="N8" s="74"/>
      <c r="O8" s="74"/>
      <c r="P8" s="74"/>
      <c r="Q8" s="81"/>
      <c r="R8" s="75"/>
      <c r="S8" s="36"/>
      <c r="T8" s="36"/>
      <c r="U8" s="36"/>
      <c r="V8" s="36"/>
      <c r="W8" s="36"/>
      <c r="X8" s="36"/>
    </row>
    <row r="9" spans="1:31" ht="13.5" customHeight="1" x14ac:dyDescent="0.25">
      <c r="A9" s="70"/>
      <c r="B9" s="71"/>
      <c r="C9" s="71"/>
      <c r="D9" s="71"/>
      <c r="E9" s="72"/>
      <c r="G9" s="76"/>
      <c r="H9" s="77"/>
      <c r="I9" s="77"/>
      <c r="J9" s="77"/>
      <c r="K9" s="78"/>
      <c r="L9" s="4"/>
      <c r="M9" s="76"/>
      <c r="N9" s="77"/>
      <c r="O9" s="77"/>
      <c r="P9" s="77"/>
      <c r="Q9" s="82"/>
      <c r="R9" s="78"/>
      <c r="S9" s="35"/>
      <c r="T9" s="35"/>
      <c r="U9" s="35"/>
      <c r="V9" s="35"/>
      <c r="W9" s="35"/>
      <c r="X9" s="35"/>
      <c r="Y9"/>
    </row>
    <row r="10" spans="1:31" s="6" customFormat="1" ht="20.25" customHeight="1" x14ac:dyDescent="0.2">
      <c r="A10" s="54" t="s">
        <v>4</v>
      </c>
      <c r="B10" s="55"/>
      <c r="C10" s="55"/>
      <c r="D10" s="51" t="s">
        <v>5</v>
      </c>
      <c r="E10" s="53"/>
      <c r="G10" s="54" t="s">
        <v>4</v>
      </c>
      <c r="H10" s="55"/>
      <c r="I10" s="55"/>
      <c r="J10" s="51" t="s">
        <v>5</v>
      </c>
      <c r="K10" s="53"/>
      <c r="M10" s="54" t="s">
        <v>4</v>
      </c>
      <c r="N10" s="55"/>
      <c r="O10" s="55"/>
      <c r="P10" s="51" t="s">
        <v>5</v>
      </c>
      <c r="Q10" s="52"/>
      <c r="R10" s="53"/>
      <c r="S10" s="37"/>
      <c r="T10" s="37"/>
      <c r="U10" s="37"/>
      <c r="V10" s="37"/>
      <c r="W10" s="37"/>
      <c r="X10" s="37"/>
    </row>
    <row r="11" spans="1:31" s="2" customFormat="1" ht="16" thickBot="1" x14ac:dyDescent="0.25">
      <c r="A11" s="56" t="s">
        <v>3</v>
      </c>
      <c r="B11" s="57"/>
      <c r="C11" s="12" t="s">
        <v>1</v>
      </c>
      <c r="D11" s="8"/>
      <c r="E11" s="7" t="s">
        <v>1</v>
      </c>
      <c r="G11" s="56" t="s">
        <v>3</v>
      </c>
      <c r="H11" s="57"/>
      <c r="I11" s="12" t="s">
        <v>1</v>
      </c>
      <c r="J11" s="8"/>
      <c r="K11" s="7" t="s">
        <v>1</v>
      </c>
      <c r="M11" s="56" t="s">
        <v>3</v>
      </c>
      <c r="N11" s="57"/>
      <c r="O11" s="12" t="s">
        <v>1</v>
      </c>
      <c r="P11" s="58"/>
      <c r="Q11" s="59"/>
      <c r="R11" s="7" t="s">
        <v>1</v>
      </c>
      <c r="S11" s="36"/>
      <c r="T11" s="36"/>
      <c r="U11" s="36"/>
      <c r="V11" s="36"/>
      <c r="W11" s="36"/>
      <c r="X11" s="36"/>
    </row>
    <row r="12" spans="1:31" ht="23.5" customHeight="1" thickTop="1" x14ac:dyDescent="0.2">
      <c r="A12" s="25" t="s">
        <v>6</v>
      </c>
      <c r="B12" s="22"/>
      <c r="C12" s="27" t="str" cm="1">
        <f t="array" ref="C12">IF(B12="","",DMTDD(B12))</f>
        <v/>
      </c>
      <c r="D12" s="88"/>
      <c r="E12" s="5"/>
      <c r="G12" s="25" t="s">
        <v>6</v>
      </c>
      <c r="H12" s="22" t="s">
        <v>26</v>
      </c>
      <c r="I12" s="27" t="str" cm="1">
        <f t="array" ref="I12">IF(OR(LEFT($G$5,2)="Ju",LEFT($G$5,2)="L7",LEFT($G$5,2)="Se"),IF(OR(H12="",H12=B12,H12=B13,H12=B14),"",DMTDD(H12)),IF(OR(H12="",H12=B12),"",DMTDD(H12)))</f>
        <v/>
      </c>
      <c r="J12" s="88"/>
      <c r="K12" s="5"/>
      <c r="M12" s="25" t="s">
        <v>6</v>
      </c>
      <c r="N12" s="22"/>
      <c r="O12" s="27" t="str" cm="1">
        <f t="array" ref="O12">IF(OR(N12="",N12=B12,N12=H12),"",DMTDD(N12))</f>
        <v/>
      </c>
      <c r="P12" s="60"/>
      <c r="Q12" s="61"/>
      <c r="R12" s="5"/>
      <c r="S12" s="32" t="str" cm="1">
        <f t="array" ref="S12">NUMFLIPS(B12)</f>
        <v/>
      </c>
      <c r="T12" s="32" t="str" cm="1">
        <f t="array" ref="T12">NUMFLIPS(H12)</f>
        <v/>
      </c>
      <c r="U12" s="32" t="str" cm="1">
        <f t="array" ref="U12">NUMFLIPS(N12)</f>
        <v/>
      </c>
      <c r="V12" s="35"/>
      <c r="W12" s="35"/>
      <c r="X12" s="35"/>
      <c r="Y12"/>
    </row>
    <row r="13" spans="1:31" ht="25.5" customHeight="1" x14ac:dyDescent="0.2">
      <c r="A13" s="25" t="s">
        <v>8</v>
      </c>
      <c r="B13" s="22"/>
      <c r="C13" s="27" t="str" cm="1">
        <f t="array" ref="C13">IF(OR(B13="",C12&lt;&gt;"",AND(B5="Men/Hommes",OR(LEFT($G$5,2)="Ju",LEFT($G$5,2)="L7",LEFT($G$5,2)="Se"))),"",DMTDD(B13))</f>
        <v/>
      </c>
      <c r="D13" s="89"/>
      <c r="E13" s="5"/>
      <c r="G13" s="25" t="s">
        <v>8</v>
      </c>
      <c r="H13" s="22"/>
      <c r="I13" s="27" t="str" cm="1">
        <f t="array" ref="I13">IF(OR(LEFT($G$5,2)="Ju",LEFT($G$5,2)="L7",LEFT($G$5,2)="Se"),IF(OR(B5="Men/Hommes",H13="",I12&lt;&gt;"",C13&lt;&gt;"",H13=B12,H13=B13,H13=B14),"",DMTDD(H13)),IF(OR(H13="",I12&lt;&gt;"",H13=B13,AND(OR(LEFT($G$5,2)="L3",LEFT($G$5,2)="L4",LEFT($G$5,2)="L5",LEFT($G$5,2)="L6"),C13&lt;&gt;"",C13&gt;0)),"",DMTDD(H13)))</f>
        <v/>
      </c>
      <c r="J13" s="89"/>
      <c r="K13" s="5"/>
      <c r="M13" s="25" t="s">
        <v>8</v>
      </c>
      <c r="N13" s="22"/>
      <c r="O13" s="27" t="str" cm="1">
        <f t="array" ref="O13">IF(OR(N13="",C13&lt;&gt;"",I13&lt;&gt;"",O12&lt;&gt;"",$B$5="Men/Hommes"),"",DMTDD(N13))</f>
        <v/>
      </c>
      <c r="P13" s="62"/>
      <c r="Q13" s="63"/>
      <c r="R13" s="5"/>
      <c r="S13" s="32" t="str" cm="1">
        <f t="array" ref="S13">NUMFLIPS(B13)</f>
        <v/>
      </c>
      <c r="T13" s="32" t="str" cm="1">
        <f t="array" ref="T13">NUMFLIPS(H13)</f>
        <v/>
      </c>
      <c r="U13" s="32" t="str" cm="1">
        <f t="array" ref="U13">NUMFLIPS(N13)</f>
        <v/>
      </c>
      <c r="V13" s="35"/>
      <c r="W13" s="35"/>
      <c r="X13" s="35"/>
      <c r="Y13"/>
    </row>
    <row r="14" spans="1:31" ht="24.75" customHeight="1" x14ac:dyDescent="0.2">
      <c r="A14" s="26" t="s">
        <v>7</v>
      </c>
      <c r="B14" s="23"/>
      <c r="C14" s="27" t="str" cm="1">
        <f t="array" ref="C14">IF(OR(LEFT($G$5,2)="Ju",LEFT($G$5,2)="L7",LEFT($G$5,2)="Se"),IF(OR(B14="",B14=B12,B14=B13),"",DMTDD(B14)),IF(B14="","",DMTDD(B14)))</f>
        <v/>
      </c>
      <c r="D14" s="90"/>
      <c r="E14" s="1"/>
      <c r="G14" s="26" t="s">
        <v>7</v>
      </c>
      <c r="H14" s="23" t="s">
        <v>26</v>
      </c>
      <c r="I14" s="27" t="str" cm="1">
        <f t="array" ref="I14">IF(OR(LEFT($G$5,2)="Ju",LEFT($G$5,2)="L7",LEFT($G$5,2)="Se"),IF(OR(H14="",H14=B12,H14=B13,H14=B14,H14=H12,H14=H13),"",DMTDD(H14)),IF(OR(H14="",H14=B14),"",DMTDD(H14)))</f>
        <v/>
      </c>
      <c r="J14" s="90"/>
      <c r="K14" s="1"/>
      <c r="M14" s="26" t="s">
        <v>7</v>
      </c>
      <c r="N14" s="23" t="s">
        <v>26</v>
      </c>
      <c r="O14" s="27" t="str" cm="1">
        <f t="array" ref="O14">IF(OR(N14="",N14=B14,N14=H14),"",DMTDD(N14))</f>
        <v/>
      </c>
      <c r="P14" s="64"/>
      <c r="Q14" s="65"/>
      <c r="R14" s="1"/>
      <c r="S14" s="32" t="str" cm="1">
        <f t="array" ref="S14">NUMFLIPS(B14)</f>
        <v/>
      </c>
      <c r="T14" s="32" t="str" cm="1">
        <f t="array" ref="T14">NUMFLIPS(H14)</f>
        <v/>
      </c>
      <c r="U14" s="32" t="str" cm="1">
        <f t="array" ref="U14">NUMFLIPS(N14)</f>
        <v/>
      </c>
      <c r="V14" s="35"/>
      <c r="W14" s="35"/>
      <c r="X14" s="35"/>
      <c r="Y14"/>
    </row>
    <row r="15" spans="1:31" s="2" customFormat="1" ht="20.25" customHeight="1" x14ac:dyDescent="0.2">
      <c r="A15" s="47" t="s">
        <v>0</v>
      </c>
      <c r="B15" s="48"/>
      <c r="C15" s="31" t="str">
        <f>IF(SUM(C12:C14)=0,"",SUM(C12:C14))</f>
        <v/>
      </c>
      <c r="D15" s="10" t="s">
        <v>2</v>
      </c>
      <c r="E15" s="9"/>
      <c r="G15" s="86" t="s">
        <v>0</v>
      </c>
      <c r="H15" s="87"/>
      <c r="I15" s="31" t="str">
        <f>IF(SUM(I12:I14)=0,"",SUM(I12:I14))</f>
        <v/>
      </c>
      <c r="J15" s="10" t="s">
        <v>2</v>
      </c>
      <c r="K15" s="11"/>
      <c r="M15" s="47" t="s">
        <v>0</v>
      </c>
      <c r="N15" s="48"/>
      <c r="O15" s="31" t="str">
        <f>IF(SUM(O12:O14)=0,"",SUM(O12:O14))</f>
        <v/>
      </c>
      <c r="P15" s="45" t="s">
        <v>2</v>
      </c>
      <c r="Q15" s="46"/>
      <c r="R15" s="9"/>
      <c r="S15" s="36"/>
      <c r="T15" s="36"/>
      <c r="U15" s="36"/>
      <c r="V15" s="36"/>
      <c r="W15" s="36"/>
      <c r="X15" s="36"/>
    </row>
    <row r="16" spans="1:31" s="2" customFormat="1" ht="20.25" customHeight="1" x14ac:dyDescent="0.2">
      <c r="A16" s="47" t="s">
        <v>14</v>
      </c>
      <c r="B16" s="48"/>
      <c r="C16" s="24" t="str" cm="1">
        <f t="array" ref="C16">IF(C15="","",IF(LEFT($G$5,2)="L2",IF(AND(MID(B12,1,2)="41",C12&lt;&gt;""),0.7,0),IF(AND($B$5="Women/Femmes",OR(LEFT($G$5,2)="L6",LEFT($G$5,2)="L7")),IF(AND(C12&lt;&gt;"",OR(B12="8-1&lt;",B12="801&lt;")),0.3,0),IF(AND($B$5="Women/Femmes",LEFT($G$5,2)="Se"),IF(DUBTWISTS(B12)&gt;2,0.3,0)+IF(DUBTWISTS(B14)&gt;2,0.3,0),IF(AND($B$5="Men/Hommes",LEFT($G$5,2)="Se"),COUNTIF(C12:C14,"&gt;=4.8")*0.3,0)))))</f>
        <v/>
      </c>
      <c r="D16" s="10" t="s">
        <v>15</v>
      </c>
      <c r="E16" s="9"/>
      <c r="G16" s="86" t="s">
        <v>14</v>
      </c>
      <c r="H16" s="87"/>
      <c r="I16" s="24" t="str" cm="1">
        <f t="array" ref="I16">IF(I15="","",IF(LEFT($G$5,2)="L2",IF(AND(MID(H12,1,2)="41",I12&lt;&gt;""),0.7,0),IF(AND($B$5="Women/Femmes",OR(LEFT($G$5,2)="L6",LEFT($G$5,2)="L7")),IF(AND(I12&lt;&gt;"",OR(H12="8-1&lt;",H12="801&lt;")),0.3,0),IF(AND($B$5="Women/Femmes",LEFT($G$5,2)="Se"),IF(DUBTWISTS(H12)&gt;2,0.3,0)+IF(DUBTWISTS(H14)&gt;2,0.3,0),IF(AND($B$5="Men/Hommes",LEFT($G$5,2)="Se"),COUNTIF(I12:I14,"&gt;=4.8")*0.3,0)))))</f>
        <v/>
      </c>
      <c r="J16" s="10" t="s">
        <v>15</v>
      </c>
      <c r="K16" s="11"/>
      <c r="M16" s="47" t="s">
        <v>14</v>
      </c>
      <c r="N16" s="48"/>
      <c r="O16" s="24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45" t="s">
        <v>15</v>
      </c>
      <c r="Q16" s="46"/>
      <c r="R16" s="9"/>
      <c r="S16" s="36"/>
      <c r="T16" s="36"/>
      <c r="U16" s="36"/>
      <c r="V16" s="36"/>
      <c r="W16" s="36"/>
      <c r="X16" s="36"/>
    </row>
    <row r="17" spans="1:31" s="2" customFormat="1" ht="20.25" customHeight="1" thickBot="1" x14ac:dyDescent="0.25">
      <c r="A17" s="91" t="s">
        <v>9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36"/>
      <c r="T17" s="36"/>
      <c r="U17" s="36"/>
      <c r="V17" s="36"/>
      <c r="W17" s="36"/>
      <c r="X17" s="36"/>
    </row>
    <row r="18" spans="1:31" ht="22" customHeight="1" x14ac:dyDescent="0.2">
      <c r="A18" s="83" t="s">
        <v>19</v>
      </c>
      <c r="B18" s="84"/>
      <c r="C18" s="84"/>
      <c r="D18" s="84"/>
      <c r="E18" s="85"/>
      <c r="G18" s="83" t="s">
        <v>19</v>
      </c>
      <c r="H18" s="84"/>
      <c r="I18" s="84"/>
      <c r="J18" s="84"/>
      <c r="K18" s="85"/>
      <c r="M18" s="83" t="s">
        <v>19</v>
      </c>
      <c r="N18" s="84"/>
      <c r="O18" s="84"/>
      <c r="P18" s="84"/>
      <c r="Q18" s="84"/>
      <c r="R18" s="85"/>
      <c r="S18" s="35"/>
      <c r="T18" s="35"/>
      <c r="U18" s="35"/>
      <c r="V18" s="35"/>
      <c r="W18" s="35"/>
      <c r="X18" s="35"/>
      <c r="Y18"/>
    </row>
    <row r="19" spans="1:31" ht="16" customHeight="1" x14ac:dyDescent="0.2">
      <c r="A19" s="28" t="str">
        <f>IF(B19&lt;&gt;"","r","")</f>
        <v/>
      </c>
      <c r="B19" s="92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C19" s="92"/>
      <c r="D19" s="92"/>
      <c r="E19" s="93"/>
      <c r="G19" s="28" t="str">
        <f>IF(H19&lt;&gt;"","r","")</f>
        <v/>
      </c>
      <c r="H19" s="92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I19" s="92"/>
      <c r="J19" s="92"/>
      <c r="K19" s="93"/>
      <c r="M19" s="28" t="str">
        <f>IF(N19&lt;&gt;"","r","")</f>
        <v/>
      </c>
      <c r="N19" s="92" t="str">
        <f>IF(LEFT($G$5,2)="Ju","One double salto",IF(LEFT($G$5,2)="L7","One double salto",""))</f>
        <v/>
      </c>
      <c r="O19" s="92"/>
      <c r="P19" s="92"/>
      <c r="Q19" s="92"/>
      <c r="R19" s="93"/>
      <c r="S19" s="35"/>
      <c r="T19" s="35"/>
      <c r="U19" s="35"/>
      <c r="V19" s="35"/>
      <c r="W19" s="35"/>
      <c r="X19" s="35"/>
      <c r="Y19"/>
    </row>
    <row r="20" spans="1:31" ht="16" customHeight="1" thickBot="1" x14ac:dyDescent="0.25">
      <c r="A20" s="29" t="str">
        <f>IF(B20&lt;&gt;"","r","")</f>
        <v/>
      </c>
      <c r="B20" s="94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C20" s="94"/>
      <c r="D20" s="94"/>
      <c r="E20" s="95"/>
      <c r="G20" s="29" t="str">
        <f>IF(H20&lt;&gt;"","r","")</f>
        <v/>
      </c>
      <c r="H20" s="94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I20" s="94"/>
      <c r="J20" s="94"/>
      <c r="K20" s="95"/>
      <c r="M20" s="29" t="str">
        <f>IF(N20&lt;&gt;"","r","")</f>
        <v/>
      </c>
      <c r="N20" s="94"/>
      <c r="O20" s="94"/>
      <c r="P20" s="94"/>
      <c r="Q20" s="94"/>
      <c r="R20" s="95"/>
      <c r="S20" s="35"/>
      <c r="T20" s="35"/>
      <c r="U20" s="35"/>
      <c r="V20" s="35"/>
      <c r="W20" s="35"/>
      <c r="X20" s="35"/>
      <c r="Y20"/>
    </row>
    <row r="21" spans="1:31" ht="22" customHeight="1" x14ac:dyDescent="0.2">
      <c r="A21" s="83" t="s">
        <v>23</v>
      </c>
      <c r="B21" s="84"/>
      <c r="C21" s="84"/>
      <c r="D21" s="84"/>
      <c r="E21" s="85"/>
      <c r="G21" s="83" t="s">
        <v>23</v>
      </c>
      <c r="H21" s="84"/>
      <c r="I21" s="84"/>
      <c r="J21" s="84"/>
      <c r="K21" s="85"/>
      <c r="M21" s="83" t="s">
        <v>23</v>
      </c>
      <c r="N21" s="84"/>
      <c r="O21" s="84"/>
      <c r="P21" s="84"/>
      <c r="Q21" s="84"/>
      <c r="R21" s="85"/>
      <c r="S21" s="35"/>
      <c r="T21" s="35"/>
      <c r="U21" s="35"/>
      <c r="V21" s="35"/>
      <c r="W21" s="35"/>
      <c r="X21" s="35"/>
      <c r="Y21"/>
    </row>
    <row r="22" spans="1:31" ht="16" customHeight="1" thickBot="1" x14ac:dyDescent="0.3">
      <c r="A22" s="29" t="str">
        <f>IF(B22&lt;&gt;"","r","")</f>
        <v/>
      </c>
      <c r="B22" s="94" t="str">
        <f>IF(LEFT($G$5,2)="L4","1 Double (across four passes)","")</f>
        <v/>
      </c>
      <c r="C22" s="94"/>
      <c r="D22" s="94"/>
      <c r="E22" s="95"/>
      <c r="F22" s="2"/>
      <c r="G22" s="29" t="str">
        <f>IF(H22&lt;&gt;"","r","")</f>
        <v/>
      </c>
      <c r="H22" s="94" t="str">
        <f>IF(LEFT($G$5,2)="L4","1 Double (across four passes)","")</f>
        <v/>
      </c>
      <c r="I22" s="94"/>
      <c r="J22" s="94"/>
      <c r="K22" s="95"/>
      <c r="L22" s="3"/>
      <c r="M22" s="29" t="str">
        <f>IF(N22&lt;&gt;"","r","")</f>
        <v/>
      </c>
      <c r="N22" s="94"/>
      <c r="O22" s="94"/>
      <c r="P22" s="94"/>
      <c r="Q22" s="94"/>
      <c r="R22" s="95"/>
      <c r="S22" s="35"/>
      <c r="T22" s="35"/>
      <c r="U22" s="35"/>
      <c r="V22" s="35"/>
      <c r="W22" s="35"/>
      <c r="X22" s="35"/>
      <c r="Y22"/>
    </row>
    <row r="23" spans="1:31" ht="7.5" customHeight="1" thickBot="1" x14ac:dyDescent="0.25"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</row>
    <row r="24" spans="1:31" ht="15" customHeight="1" x14ac:dyDescent="0.2">
      <c r="A24" s="67" t="s">
        <v>12</v>
      </c>
      <c r="B24" s="68"/>
      <c r="C24" s="68"/>
      <c r="D24" s="68"/>
      <c r="E24" s="69"/>
      <c r="F24" s="2"/>
      <c r="G24" s="73" t="s">
        <v>11</v>
      </c>
      <c r="H24" s="74"/>
      <c r="I24" s="74"/>
      <c r="J24" s="74"/>
      <c r="K24" s="75"/>
    </row>
    <row r="25" spans="1:31" ht="13.5" customHeight="1" x14ac:dyDescent="0.2">
      <c r="A25" s="70"/>
      <c r="B25" s="71"/>
      <c r="C25" s="71"/>
      <c r="D25" s="71"/>
      <c r="E25" s="72"/>
      <c r="G25" s="76"/>
      <c r="H25" s="77"/>
      <c r="I25" s="77"/>
      <c r="J25" s="77"/>
      <c r="K25" s="78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</row>
    <row r="26" spans="1:31" ht="20.25" customHeight="1" x14ac:dyDescent="0.2">
      <c r="A26" s="54" t="s">
        <v>4</v>
      </c>
      <c r="B26" s="55"/>
      <c r="C26" s="55"/>
      <c r="D26" s="51" t="s">
        <v>5</v>
      </c>
      <c r="E26" s="53"/>
      <c r="F26" s="6"/>
      <c r="G26" s="54" t="s">
        <v>4</v>
      </c>
      <c r="H26" s="55"/>
      <c r="I26" s="55"/>
      <c r="J26" s="51" t="s">
        <v>5</v>
      </c>
      <c r="K26" s="53"/>
      <c r="N26" s="96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96"/>
      <c r="P26" s="96"/>
      <c r="Q26" s="38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</row>
    <row r="27" spans="1:31" ht="16" thickBot="1" x14ac:dyDescent="0.25">
      <c r="A27" s="56" t="s">
        <v>3</v>
      </c>
      <c r="B27" s="57"/>
      <c r="C27" s="12" t="s">
        <v>1</v>
      </c>
      <c r="D27" s="8"/>
      <c r="E27" s="7" t="s">
        <v>1</v>
      </c>
      <c r="F27" s="2"/>
      <c r="G27" s="56" t="s">
        <v>3</v>
      </c>
      <c r="H27" s="57"/>
      <c r="I27" s="12" t="s">
        <v>1</v>
      </c>
      <c r="J27" s="8"/>
      <c r="K27" s="7" t="s">
        <v>1</v>
      </c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</row>
    <row r="28" spans="1:31" ht="23.5" customHeight="1" thickTop="1" x14ac:dyDescent="0.2">
      <c r="A28" s="25" t="s">
        <v>6</v>
      </c>
      <c r="B28" s="22"/>
      <c r="C28" s="27" t="str" cm="1">
        <f t="array" ref="C28">IF(OR(LEFT($G$5,2)="Ju",LEFT($G$5,2)="L7",LEFT($G$5,2)="Se"),IF(B28="","",DMTDD(B28)),IF(OR(B28="",B28=B12,B28=H12),"",DMTDD(B28)))</f>
        <v/>
      </c>
      <c r="D28" s="88"/>
      <c r="E28" s="5"/>
      <c r="G28" s="25" t="s">
        <v>6</v>
      </c>
      <c r="H28" s="22"/>
      <c r="I28" s="27" t="str" cm="1">
        <f t="array" ref="I28">IF(OR(LEFT($G$5,2)="Ju",LEFT($G$5,2)="L7",LEFT($G$5,2)="Se"),IF(OR(H28="",H28=B28,H28=B29,H28=B30),"",DMTDD(H28)),IF(OR(H28="",H28=B12,H28=H12,H28=B28),"",DMTDD(H28)))</f>
        <v/>
      </c>
      <c r="J28" s="88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2" t="str" cm="1">
        <f t="array" ref="S28">NUMFLIPS(B28)</f>
        <v/>
      </c>
      <c r="T28" s="32" t="str" cm="1">
        <f t="array" ref="T28">NUMFLIPS(H28)</f>
        <v/>
      </c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</row>
    <row r="29" spans="1:31" ht="23.5" customHeight="1" x14ac:dyDescent="0.2">
      <c r="A29" s="25" t="s">
        <v>8</v>
      </c>
      <c r="B29" s="22"/>
      <c r="C29" s="27" t="str" cm="1">
        <f t="array" ref="C29">IF(OR(LEFT($G$5,2)="Ju",LEFT($G$5,2)="L7",LEFT($G$5,2)="Se"),"",IF(OR(B29="",C28&lt;&gt;"",B29=B13,B29=H13),"",DMTDD(B29)))</f>
        <v/>
      </c>
      <c r="D29" s="89"/>
      <c r="E29" s="5"/>
      <c r="G29" s="25" t="s">
        <v>8</v>
      </c>
      <c r="H29" s="22"/>
      <c r="I29" s="27" t="str" cm="1">
        <f t="array" ref="I29">IF(OR(LEFT($G$5,2)="Ju",LEFT($G$5,2)="L7",LEFT($G$5,2)="Se"),"",IF(OR(H29="",I28&lt;&gt;"",H29=B13,H29=I13,H29=B29),"",DMTDD(H29)))</f>
        <v/>
      </c>
      <c r="J29" s="89"/>
      <c r="K29" s="5"/>
      <c r="S29" s="32" t="str" cm="1">
        <f t="array" ref="S29">NUMFLIPS(B29)</f>
        <v/>
      </c>
      <c r="T29" s="32" t="str" cm="1">
        <f t="array" ref="T29">NUMFLIPS(H29)</f>
        <v/>
      </c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</row>
    <row r="30" spans="1:31" ht="23.5" customHeight="1" x14ac:dyDescent="0.2">
      <c r="A30" s="26" t="s">
        <v>7</v>
      </c>
      <c r="B30" s="23"/>
      <c r="C30" s="27" t="str" cm="1">
        <f t="array" ref="C30">IF(OR(LEFT($G$5,2)="Ju",LEFT($G$5,2)="L7",LEFT($G$5,2)="Se"),IF(OR(B30="",B30=B28,B30=B29),"",DMTDD(B30)),IF(OR(B30="",B30=B14,B30=H14),"",DMTDD(B30)))</f>
        <v/>
      </c>
      <c r="D30" s="90"/>
      <c r="E30" s="1"/>
      <c r="G30" s="26" t="s">
        <v>7</v>
      </c>
      <c r="H30" s="23" t="s">
        <v>26</v>
      </c>
      <c r="I30" s="27" t="str" cm="1">
        <f t="array" ref="I30">IF(OR(LEFT($G$5,2)="Ju",LEFT($G$5,2)="L7",LEFT($G$5,2)="Se"),IF(OR(H30="",H30=B28,H30=B29,H30=B30,H30=H28,H30=H29),"",DMTDD(H30)),IF(OR(H30="",H30=B14,H30=H14,H30=B30),"",DMTDD(H30)))</f>
        <v/>
      </c>
      <c r="J30" s="90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2" t="str" cm="1">
        <f t="array" ref="S30">NUMFLIPS(B30)</f>
        <v/>
      </c>
      <c r="T30" s="32" t="str" cm="1">
        <f t="array" ref="T30">NUMFLIPS(H30)</f>
        <v/>
      </c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</row>
    <row r="31" spans="1:31" ht="20.25" customHeight="1" x14ac:dyDescent="0.2">
      <c r="A31" s="47" t="s">
        <v>0</v>
      </c>
      <c r="B31" s="48"/>
      <c r="C31" s="31" t="str">
        <f>IF(SUM(C28:C30)=0,"",SUM(C28:C30))</f>
        <v/>
      </c>
      <c r="D31" s="10" t="s">
        <v>2</v>
      </c>
      <c r="E31" s="9"/>
      <c r="F31" s="2"/>
      <c r="G31" s="86" t="s">
        <v>0</v>
      </c>
      <c r="H31" s="87"/>
      <c r="I31" s="31" t="str">
        <f>IF(SUM(I28:I30)=0,"",SUM(I28:I30))</f>
        <v/>
      </c>
      <c r="J31" s="10" t="s">
        <v>2</v>
      </c>
      <c r="K31" s="11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</row>
    <row r="32" spans="1:31" ht="20.25" customHeight="1" x14ac:dyDescent="0.2">
      <c r="A32" s="47" t="s">
        <v>14</v>
      </c>
      <c r="B32" s="48"/>
      <c r="C32" s="24" t="str" cm="1">
        <f t="array" ref="C32">IF(C31="","",IF(LEFT($G$5,2)="L2",IF(AND(MID(B28,1,2)="41",C28&lt;&gt;""),0.7,0),IF(AND($B$5="Women/Femmes",OR(LEFT($G$5,2)="L6",LEFT($G$5,2)="L7")),IF(AND(C28&lt;&gt;"",OR(B28="8-1&lt;",B28="801&lt;")),0.3,0),IF(AND($B$5="Women/Femmes",LEFT($G$5,2)="Se"),IF(DUBTWISTS(B28)&gt;2,0.3,0)+IF(DUBTWISTS(B30)&gt;2,0.3,0),IF(AND($B$5="Men/Hommes",LEFT($G$5,2)="Se"),COUNTIF(C28:C30,"&gt;=4.8")*0.3,0)))))</f>
        <v/>
      </c>
      <c r="D32" s="10" t="s">
        <v>15</v>
      </c>
      <c r="E32" s="9"/>
      <c r="F32" s="2"/>
      <c r="G32" s="86" t="s">
        <v>14</v>
      </c>
      <c r="H32" s="87"/>
      <c r="I32" s="24" t="str" cm="1">
        <f t="array" ref="I32">IF(I31="","",IF(LEFT($G$5,2)="L2",IF(AND(MID(H28,1,2)="41",I28&lt;&gt;""),0.7,0),IF(AND($B$5="Women/Femmes",OR(LEFT($G$5,2)="L6",LEFT($G$5,2)="L7")),IF(AND(I28&lt;&gt;"",OR(H28="8-1&lt;",H28="801&lt;")),0.3,0),IF(AND($B$5="Women/Femmes",LEFT($G$5,2)="Se"),IF(DUBTWISTS(H28)&gt;2,0.3,0)+IF(DUBTWISTS(H30)&gt;2,0.3,0),IF(AND($B$5="Men/Hommes",LEFT($G$5,2)="Se"),COUNTIF(I28:I30,"&gt;=4.8")*0.3,0)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ht="20.25" customHeight="1" thickBot="1" x14ac:dyDescent="0.25">
      <c r="A33" s="91" t="s">
        <v>9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ht="22" customHeight="1" x14ac:dyDescent="0.2">
      <c r="A34" s="83" t="s">
        <v>19</v>
      </c>
      <c r="B34" s="84"/>
      <c r="C34" s="84"/>
      <c r="D34" s="84"/>
      <c r="E34" s="85"/>
      <c r="G34" s="83" t="s">
        <v>19</v>
      </c>
      <c r="H34" s="84"/>
      <c r="I34" s="84"/>
      <c r="J34" s="84"/>
      <c r="K34" s="8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ht="16" customHeight="1" x14ac:dyDescent="0.2">
      <c r="A35" s="28" t="str">
        <f>IF(B35&lt;&gt;"","r","")</f>
        <v/>
      </c>
      <c r="B35" s="92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92"/>
      <c r="D35" s="92"/>
      <c r="E35" s="93"/>
      <c r="G35" s="28" t="str">
        <f>IF(H35&lt;&gt;"","r","")</f>
        <v/>
      </c>
      <c r="H35" s="92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92"/>
      <c r="J35" s="92"/>
      <c r="K35" s="93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ht="16" customHeight="1" thickBot="1" x14ac:dyDescent="0.25">
      <c r="A36" s="29" t="str">
        <f>IF(B36&lt;&gt;"","r","")</f>
        <v/>
      </c>
      <c r="B36" s="94" t="str">
        <f>IF(LEFT($G$5,2)="L2","One salto",IF(LEFT($G$5,2)="L3","Element 0.9 or higher (one finals pass)",IF(LEFT($G$5,2)="L4","Element 0.9 or higher",IF(LEFT($G$5,2)="Ju","Double to double (one finals pass)",""))))</f>
        <v/>
      </c>
      <c r="C36" s="94"/>
      <c r="D36" s="94"/>
      <c r="E36" s="95"/>
      <c r="G36" s="29" t="str">
        <f>IF(H36&lt;&gt;"","r","")</f>
        <v/>
      </c>
      <c r="H36" s="94" t="str">
        <f>IF(LEFT($G$5,2)="L2","One salto",IF(LEFT($G$5,2)="L3","Element 0.9 or higher (one finals pass)",IF(LEFT($G$5,2)="L4","Element 0.9 or higher",IF(LEFT($G$5,2)="Ju","Double to double (one finals pass)",""))))</f>
        <v/>
      </c>
      <c r="I36" s="94"/>
      <c r="J36" s="94"/>
      <c r="K36" s="9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ht="22" customHeight="1" x14ac:dyDescent="0.2">
      <c r="A37" s="83" t="s">
        <v>23</v>
      </c>
      <c r="B37" s="84"/>
      <c r="C37" s="84"/>
      <c r="D37" s="84"/>
      <c r="E37" s="85"/>
      <c r="G37" s="83" t="s">
        <v>23</v>
      </c>
      <c r="H37" s="84"/>
      <c r="I37" s="84"/>
      <c r="J37" s="84"/>
      <c r="K37" s="8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ht="16" customHeight="1" thickBot="1" x14ac:dyDescent="0.25">
      <c r="A38" s="29" t="str">
        <f>IF(B38&lt;&gt;"","r","")</f>
        <v/>
      </c>
      <c r="B38" s="94" t="str">
        <f>IF(LEFT($G$5,2)="L4","1 Double (across four passes)","")</f>
        <v/>
      </c>
      <c r="C38" s="94"/>
      <c r="D38" s="94"/>
      <c r="E38" s="95"/>
      <c r="F38" s="2"/>
      <c r="G38" s="29" t="str">
        <f>IF(H38&lt;&gt;"","r","")</f>
        <v/>
      </c>
      <c r="H38" s="94" t="str">
        <f>IF(LEFT($G$5,2)="L4","1 Double (across four passes)","")</f>
        <v/>
      </c>
      <c r="I38" s="94"/>
      <c r="J38" s="94"/>
      <c r="K38" s="9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"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">
      <c r="B40" t="s">
        <v>25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"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  <row r="42" spans="1:31" x14ac:dyDescent="0.2"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</row>
    <row r="43" spans="1:31" x14ac:dyDescent="0.2"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</row>
    <row r="44" spans="1:31" x14ac:dyDescent="0.2"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</row>
    <row r="45" spans="1:31" x14ac:dyDescent="0.2"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</row>
  </sheetData>
  <sheetProtection algorithmName="SHA-512" hashValue="7fbCeG0rrEwhLLC5byNLxo10KjNWGg2yRItHiwdeJIGSPznZvBswR6DauIG5IR8m+DB+0tJU++J7tPja3hxfgQ==" saltValue="rx3ySR+iBA2Loc0IiD4B6g==" spinCount="100000" sheet="1" objects="1" scenarios="1"/>
  <mergeCells count="73"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  <mergeCell ref="A32:B32"/>
    <mergeCell ref="G26:I26"/>
    <mergeCell ref="G27:H27"/>
    <mergeCell ref="G31:H31"/>
    <mergeCell ref="G32:H32"/>
    <mergeCell ref="A24:E25"/>
    <mergeCell ref="A26:C26"/>
    <mergeCell ref="D26:E26"/>
    <mergeCell ref="A27:B27"/>
    <mergeCell ref="D28:D30"/>
    <mergeCell ref="A21:E21"/>
    <mergeCell ref="B22:E22"/>
    <mergeCell ref="G21:K21"/>
    <mergeCell ref="H22:K22"/>
    <mergeCell ref="M21:R21"/>
    <mergeCell ref="N22:R22"/>
    <mergeCell ref="N19:R19"/>
    <mergeCell ref="N20:R20"/>
    <mergeCell ref="M18:R18"/>
    <mergeCell ref="B19:E19"/>
    <mergeCell ref="B20:E20"/>
    <mergeCell ref="H19:K19"/>
    <mergeCell ref="H20:K20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B5:C5"/>
    <mergeCell ref="G5:I5"/>
    <mergeCell ref="A1:R1"/>
    <mergeCell ref="A8:E9"/>
    <mergeCell ref="G8:K9"/>
    <mergeCell ref="G3:J3"/>
    <mergeCell ref="B3:D3"/>
    <mergeCell ref="M8:R9"/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>
      <formula>IF(NOT(OR(LEFT($G$5,2)="Ju", LEFT($G$5,2)="L7",LEFT($G$5,2)="Se")),1,0)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&amp;R&amp;"Calibri,Regular"&amp;K0000002022 Version 1.2 (Feb 2022)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2022-02-12T19:33:29Z</dcterms:modified>
  <cp:category/>
</cp:coreProperties>
</file>