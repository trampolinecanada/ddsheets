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Lavoie\Documents\"/>
    </mc:Choice>
  </mc:AlternateContent>
  <xr:revisionPtr revIDLastSave="0" documentId="8_{760AEF9E-DC10-432F-9EFE-2002FCDCCF95}" xr6:coauthVersionLast="31" xr6:coauthVersionMax="31" xr10:uidLastSave="{00000000-0000-0000-0000-000000000000}"/>
  <bookViews>
    <workbookView xWindow="0" yWindow="0" windowWidth="19200" windowHeight="6960" xr2:uid="{00000000-000D-0000-FFFF-FFFF00000000}"/>
  </bookViews>
  <sheets>
    <sheet name="DD DMT" sheetId="1" r:id="rId1"/>
  </sheets>
  <definedNames>
    <definedName name="_xlnm.Print_Area" localSheetId="0">'DD DMT'!$A$1:$W$32</definedName>
  </definedNames>
  <calcPr calcId="179017"/>
</workbook>
</file>

<file path=xl/calcChain.xml><?xml version="1.0" encoding="utf-8"?>
<calcChain xmlns="http://schemas.openxmlformats.org/spreadsheetml/2006/main">
  <c r="I26" i="1" l="1"/>
  <c r="I25" i="1"/>
  <c r="I24" i="1"/>
  <c r="C26" i="1"/>
  <c r="C25" i="1"/>
  <c r="C24" i="1"/>
  <c r="U12" i="1"/>
  <c r="U11" i="1"/>
  <c r="U10" i="1"/>
  <c r="O12" i="1"/>
  <c r="O11" i="1"/>
  <c r="O10" i="1"/>
  <c r="I12" i="1"/>
  <c r="I11" i="1"/>
  <c r="I10" i="1"/>
  <c r="C12" i="1"/>
  <c r="C11" i="1"/>
  <c r="C10" i="1"/>
  <c r="S3" i="1" l="1"/>
  <c r="H31" i="1" l="1"/>
  <c r="G31" i="1" s="1"/>
  <c r="B31" i="1"/>
  <c r="A31" i="1" s="1"/>
  <c r="T17" i="1"/>
  <c r="S17" i="1" s="1"/>
  <c r="N17" i="1"/>
  <c r="M17" i="1" s="1"/>
  <c r="H17" i="1"/>
  <c r="G17" i="1" s="1"/>
  <c r="B17" i="1"/>
  <c r="A17" i="1" s="1"/>
  <c r="H32" i="1"/>
  <c r="G32" i="1" s="1"/>
  <c r="B32" i="1"/>
  <c r="A32" i="1" s="1"/>
  <c r="T18" i="1"/>
  <c r="S18" i="1" s="1"/>
  <c r="N18" i="1"/>
  <c r="M18" i="1" s="1"/>
  <c r="H18" i="1"/>
  <c r="G18" i="1" s="1"/>
  <c r="B18" i="1"/>
  <c r="A18" i="1" s="1"/>
  <c r="C27" i="1" l="1"/>
  <c r="C28" i="1" s="1"/>
  <c r="I27" i="1"/>
  <c r="I28" i="1" s="1"/>
  <c r="O13" i="1"/>
  <c r="O14" i="1" s="1"/>
  <c r="C13" i="1"/>
  <c r="C14" i="1" s="1"/>
  <c r="I13" i="1"/>
  <c r="I14" i="1" s="1"/>
  <c r="U13" i="1"/>
  <c r="U14" i="1" s="1"/>
</calcChain>
</file>

<file path=xl/sharedStrings.xml><?xml version="1.0" encoding="utf-8"?>
<sst xmlns="http://schemas.openxmlformats.org/spreadsheetml/2006/main" count="94" uniqueCount="26">
  <si>
    <t>Total DD</t>
  </si>
  <si>
    <t>DD</t>
  </si>
  <si>
    <t>Official DD</t>
  </si>
  <si>
    <t>Elements</t>
  </si>
  <si>
    <t>Athlete / Athlète</t>
  </si>
  <si>
    <t>Judges / Juges</t>
  </si>
  <si>
    <t>M</t>
  </si>
  <si>
    <t>D</t>
  </si>
  <si>
    <t>S</t>
  </si>
  <si>
    <t>S E C T I O N   F O R   J U D G E S   O N L Y   -   S E C T I O N   P O U R   L E S   J U G E S   S E U L E M E N T</t>
  </si>
  <si>
    <t>1st pass / 1er passage (prelim.)</t>
  </si>
  <si>
    <t>2nd Pass / 2ème passage (prelim.)</t>
  </si>
  <si>
    <t>3rd Pass / 3ème passage (prelim.)</t>
  </si>
  <si>
    <t>4th Pass / 4ème passage (prelim.)</t>
  </si>
  <si>
    <t>2nd Pass / 2ème passage (finals)</t>
  </si>
  <si>
    <t>1st Pass / 1er passage (finals)</t>
  </si>
  <si>
    <t>DD SHEET - FEUILLE DE DIFFICULTÉ - DOUBLE MINI (DMT)</t>
  </si>
  <si>
    <t>Bonus</t>
  </si>
  <si>
    <t>Official Bonus</t>
  </si>
  <si>
    <t>Name/Nom</t>
  </si>
  <si>
    <t>Club</t>
  </si>
  <si>
    <t>Event/Epreuve</t>
  </si>
  <si>
    <t>Category/Categorie</t>
  </si>
  <si>
    <t>Requirements:</t>
  </si>
  <si>
    <t>Max DD</t>
  </si>
  <si>
    <t>Choose: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</si>
</sst>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Wingdings"/>
      <charset val="2"/>
    </font>
    <font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0" fillId="0" borderId="6" xfId="0" applyBorder="1"/>
    <xf numFmtId="0" fontId="4" fillId="0" borderId="0" xfId="0" applyFont="1"/>
    <xf numFmtId="0" fontId="6" fillId="0" borderId="0" xfId="0" applyFont="1"/>
    <xf numFmtId="0" fontId="8" fillId="0" borderId="0" xfId="0" applyFont="1"/>
    <xf numFmtId="0" fontId="0" fillId="0" borderId="9" xfId="0" applyBorder="1"/>
    <xf numFmtId="0" fontId="4" fillId="0" borderId="0" xfId="0" applyFont="1" applyAlignment="1">
      <alignment vertical="center"/>
    </xf>
    <xf numFmtId="0" fontId="4" fillId="0" borderId="12" xfId="0" applyFont="1" applyBorder="1"/>
    <xf numFmtId="0" fontId="4" fillId="0" borderId="14" xfId="0" applyFont="1" applyBorder="1"/>
    <xf numFmtId="0" fontId="4" fillId="0" borderId="9" xfId="0" applyFont="1" applyBorder="1"/>
    <xf numFmtId="0" fontId="4" fillId="0" borderId="15" xfId="0" applyFont="1" applyBorder="1" applyAlignment="1">
      <alignment horizontal="right"/>
    </xf>
    <xf numFmtId="0" fontId="4" fillId="0" borderId="6" xfId="0" applyFont="1" applyBorder="1"/>
    <xf numFmtId="0" fontId="4" fillId="0" borderId="11" xfId="0" applyFont="1" applyBorder="1"/>
    <xf numFmtId="0" fontId="0" fillId="0" borderId="17" xfId="0" applyBorder="1" applyAlignment="1" applyProtection="1"/>
    <xf numFmtId="0" fontId="0" fillId="0" borderId="18" xfId="0" applyBorder="1" applyAlignment="1" applyProtection="1"/>
    <xf numFmtId="0" fontId="0" fillId="0" borderId="19" xfId="0" applyBorder="1" applyAlignment="1" applyProtection="1"/>
    <xf numFmtId="0" fontId="0" fillId="0" borderId="20" xfId="0" applyBorder="1" applyAlignment="1" applyProtection="1"/>
    <xf numFmtId="0" fontId="0" fillId="0" borderId="0" xfId="0" applyBorder="1" applyAlignment="1" applyProtection="1"/>
    <xf numFmtId="0" fontId="0" fillId="0" borderId="21" xfId="0" applyBorder="1" applyAlignment="1" applyProtection="1"/>
    <xf numFmtId="0" fontId="0" fillId="0" borderId="16" xfId="0" applyBorder="1" applyAlignment="1" applyProtection="1"/>
    <xf numFmtId="0" fontId="0" fillId="0" borderId="22" xfId="0" applyBorder="1" applyAlignment="1" applyProtection="1"/>
    <xf numFmtId="0" fontId="0" fillId="0" borderId="23" xfId="0" applyBorder="1" applyAlignment="1" applyProtection="1"/>
    <xf numFmtId="49" fontId="0" fillId="2" borderId="8" xfId="0" applyNumberFormat="1" applyFill="1" applyBorder="1" applyProtection="1">
      <protection locked="0"/>
    </xf>
    <xf numFmtId="49" fontId="0" fillId="2" borderId="1" xfId="0" applyNumberFormat="1" applyFill="1" applyBorder="1" applyProtection="1">
      <protection locked="0"/>
    </xf>
    <xf numFmtId="164" fontId="4" fillId="0" borderId="9" xfId="0" applyNumberFormat="1" applyFont="1" applyBorder="1" applyAlignment="1" applyProtection="1">
      <alignment wrapText="1"/>
    </xf>
    <xf numFmtId="0" fontId="0" fillId="0" borderId="7" xfId="0" applyBorder="1" applyAlignment="1" applyProtection="1">
      <alignment horizontal="center"/>
    </xf>
    <xf numFmtId="0" fontId="0" fillId="0" borderId="5" xfId="0" applyBorder="1" applyAlignment="1" applyProtection="1">
      <alignment horizontal="center"/>
    </xf>
    <xf numFmtId="0" fontId="0" fillId="0" borderId="1" xfId="0" applyBorder="1" applyAlignment="1"/>
    <xf numFmtId="164" fontId="0" fillId="2" borderId="9" xfId="0" applyNumberFormat="1" applyFill="1" applyBorder="1" applyProtection="1"/>
    <xf numFmtId="49" fontId="4" fillId="0" borderId="0" xfId="0" applyNumberFormat="1" applyFont="1"/>
    <xf numFmtId="0" fontId="0" fillId="0" borderId="0" xfId="0" applyBorder="1" applyAlignment="1"/>
    <xf numFmtId="0" fontId="0" fillId="2" borderId="0" xfId="0" applyFont="1" applyFill="1" applyBorder="1" applyAlignment="1" applyProtection="1">
      <alignment horizontal="center"/>
      <protection locked="0"/>
    </xf>
    <xf numFmtId="0" fontId="10" fillId="0" borderId="20" xfId="0" applyFont="1" applyBorder="1"/>
    <xf numFmtId="0" fontId="6" fillId="0" borderId="0" xfId="0" applyFont="1" applyFill="1" applyBorder="1" applyAlignment="1">
      <alignment vertical="center"/>
    </xf>
    <xf numFmtId="0" fontId="10" fillId="0" borderId="16" xfId="0" applyFont="1" applyBorder="1"/>
    <xf numFmtId="0" fontId="4" fillId="0" borderId="17" xfId="0" applyFont="1" applyBorder="1" applyAlignment="1">
      <alignment horizontal="center"/>
    </xf>
    <xf numFmtId="0" fontId="4" fillId="0" borderId="18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7" xfId="0" applyFont="1" applyBorder="1" applyAlignment="1" applyProtection="1">
      <alignment horizontal="right"/>
    </xf>
    <xf numFmtId="0" fontId="4" fillId="0" borderId="8" xfId="0" applyFont="1" applyBorder="1" applyAlignment="1" applyProtection="1">
      <alignment horizontal="right"/>
    </xf>
    <xf numFmtId="0" fontId="4" fillId="3" borderId="0" xfId="0" applyFont="1" applyFill="1" applyBorder="1" applyAlignment="1" applyProtection="1">
      <alignment horizontal="center"/>
    </xf>
    <xf numFmtId="0" fontId="4" fillId="0" borderId="5" xfId="0" applyFont="1" applyBorder="1" applyAlignment="1">
      <alignment horizontal="right"/>
    </xf>
    <xf numFmtId="0" fontId="4" fillId="0" borderId="1" xfId="0" applyFont="1" applyBorder="1" applyAlignment="1">
      <alignment horizontal="right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/>
    </xf>
    <xf numFmtId="0" fontId="6" fillId="0" borderId="4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0" fillId="2" borderId="0" xfId="0" applyFont="1" applyFill="1" applyBorder="1" applyAlignment="1" applyProtection="1">
      <alignment horizontal="center"/>
      <protection locked="0"/>
    </xf>
    <xf numFmtId="0" fontId="1" fillId="2" borderId="0" xfId="0" applyFont="1" applyFill="1" applyBorder="1" applyAlignment="1" applyProtection="1">
      <alignment horizontal="center" vertical="center" wrapText="1"/>
      <protection locked="0"/>
    </xf>
    <xf numFmtId="0" fontId="7" fillId="2" borderId="0" xfId="0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left"/>
    </xf>
    <xf numFmtId="164" fontId="0" fillId="2" borderId="0" xfId="0" applyNumberFormat="1" applyFont="1" applyFill="1" applyBorder="1" applyAlignment="1" applyProtection="1">
      <alignment horizontal="center"/>
    </xf>
    <xf numFmtId="0" fontId="11" fillId="0" borderId="0" xfId="0" applyFont="1" applyBorder="1" applyAlignment="1">
      <alignment horizontal="left"/>
    </xf>
    <xf numFmtId="0" fontId="11" fillId="0" borderId="21" xfId="0" applyFont="1" applyBorder="1" applyAlignment="1">
      <alignment horizontal="left"/>
    </xf>
    <xf numFmtId="0" fontId="11" fillId="0" borderId="22" xfId="0" applyFont="1" applyBorder="1" applyAlignment="1">
      <alignment horizontal="left"/>
    </xf>
    <xf numFmtId="0" fontId="11" fillId="0" borderId="23" xfId="0" applyFont="1" applyBorder="1" applyAlignment="1">
      <alignment horizontal="left"/>
    </xf>
    <xf numFmtId="0" fontId="11" fillId="0" borderId="22" xfId="0" applyFont="1" applyBorder="1" applyAlignment="1">
      <alignment horizontal="center"/>
    </xf>
    <xf numFmtId="0" fontId="11" fillId="0" borderId="23" xfId="0" applyFont="1" applyBorder="1" applyAlignment="1">
      <alignment horizontal="center"/>
    </xf>
    <xf numFmtId="0" fontId="2" fillId="2" borderId="0" xfId="0" applyFont="1" applyFill="1" applyBorder="1" applyAlignment="1" applyProtection="1">
      <alignment horizontal="center" vertical="center" wrapText="1"/>
      <protection locked="0"/>
    </xf>
    <xf numFmtId="0" fontId="3" fillId="2" borderId="0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1">
    <dxf>
      <font>
        <color theme="0" tint="-0.34998626667073579"/>
      </font>
      <fill>
        <patternFill patternType="none"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Z32"/>
  <sheetViews>
    <sheetView tabSelected="1" zoomScale="140" zoomScaleNormal="140" zoomScaleSheetLayoutView="100" workbookViewId="0">
      <selection activeCell="I13" sqref="I13"/>
    </sheetView>
  </sheetViews>
  <sheetFormatPr defaultColWidth="11.453125" defaultRowHeight="14.5" x14ac:dyDescent="0.35"/>
  <cols>
    <col min="1" max="1" width="3.7265625" customWidth="1"/>
    <col min="2" max="2" width="9.7265625" customWidth="1"/>
    <col min="3" max="3" width="5.26953125" customWidth="1"/>
    <col min="4" max="4" width="15.26953125" customWidth="1"/>
    <col min="5" max="5" width="5.54296875" customWidth="1"/>
    <col min="6" max="6" width="2.26953125" customWidth="1"/>
    <col min="7" max="7" width="3.7265625" customWidth="1"/>
    <col min="8" max="8" width="9.7265625" customWidth="1"/>
    <col min="9" max="9" width="5.26953125" customWidth="1"/>
    <col min="10" max="10" width="15.26953125" customWidth="1"/>
    <col min="11" max="11" width="5.54296875" customWidth="1"/>
    <col min="12" max="12" width="2.26953125" customWidth="1"/>
    <col min="13" max="13" width="3.7265625" customWidth="1"/>
    <col min="14" max="14" width="9.7265625" customWidth="1"/>
    <col min="15" max="15" width="5.26953125" customWidth="1"/>
    <col min="16" max="16" width="15.26953125" customWidth="1"/>
    <col min="17" max="17" width="5.54296875" customWidth="1"/>
    <col min="18" max="18" width="2.26953125" customWidth="1"/>
    <col min="19" max="19" width="3.7265625" customWidth="1"/>
    <col min="20" max="20" width="9.7265625" customWidth="1"/>
    <col min="21" max="21" width="5.26953125" customWidth="1"/>
    <col min="22" max="22" width="15.26953125" customWidth="1"/>
    <col min="23" max="23" width="5.54296875" customWidth="1"/>
  </cols>
  <sheetData>
    <row r="1" spans="1:26" ht="21.5" thickBot="1" x14ac:dyDescent="0.55000000000000004">
      <c r="A1" s="45" t="s">
        <v>16</v>
      </c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6"/>
      <c r="S1" s="46"/>
      <c r="T1" s="46"/>
      <c r="U1" s="46"/>
      <c r="V1" s="46"/>
      <c r="W1" s="46"/>
    </row>
    <row r="2" spans="1:26" ht="19" customHeight="1" x14ac:dyDescent="0.35">
      <c r="A2" s="13"/>
      <c r="B2" s="14" t="s">
        <v>19</v>
      </c>
      <c r="C2" s="14"/>
      <c r="D2" s="14"/>
      <c r="E2" s="14"/>
      <c r="F2" s="14"/>
      <c r="G2" s="14" t="s">
        <v>20</v>
      </c>
      <c r="H2" s="14"/>
      <c r="I2" s="14"/>
      <c r="J2" s="14"/>
      <c r="K2" s="14"/>
      <c r="L2" s="14" t="s">
        <v>21</v>
      </c>
      <c r="M2" s="14"/>
      <c r="N2" s="14"/>
      <c r="O2" s="14"/>
      <c r="P2" s="14" t="s">
        <v>22</v>
      </c>
      <c r="Q2" s="14"/>
      <c r="R2" s="14"/>
      <c r="S2" s="66" t="s">
        <v>24</v>
      </c>
      <c r="T2" s="66"/>
      <c r="U2" s="14"/>
      <c r="V2" s="14"/>
      <c r="W2" s="15"/>
    </row>
    <row r="3" spans="1:26" ht="19" customHeight="1" x14ac:dyDescent="0.35">
      <c r="A3" s="16"/>
      <c r="B3" s="64"/>
      <c r="C3" s="65"/>
      <c r="D3" s="65"/>
      <c r="E3" s="17"/>
      <c r="F3" s="17"/>
      <c r="G3" s="74"/>
      <c r="H3" s="75"/>
      <c r="I3" s="75"/>
      <c r="J3" s="75"/>
      <c r="L3" s="63" t="s">
        <v>25</v>
      </c>
      <c r="M3" s="63"/>
      <c r="N3" s="63"/>
      <c r="O3" s="17"/>
      <c r="P3" s="31" t="s">
        <v>25</v>
      </c>
      <c r="Q3" s="17"/>
      <c r="R3" s="17"/>
      <c r="S3" s="67" t="str">
        <f>IF(OR($L$3="Choose:",$P$3="Choose:"),"",IF(AND($L$3="Women/Femmes",OR($P$3="L5-Novice 16U",$P$3="L5-Novice 17+")),3.7,IF(AND($L$3="Men/Hommes",OR($P$3="L5-Novice 16U",$P$3="L5-Novice 17+")),4.4,IF(AND($L$3="Women/Femmes",OR($P$3="L6-Espoir 17U",$P$3="L6-Espoir 18+")),5.2,IF(AND($L$3="Men/Hommes",OR($P$3="L6-Espoir 17U",$P$3="L6-Espoir 18+")),6,"No Max")))))</f>
        <v/>
      </c>
      <c r="T3" s="67"/>
      <c r="U3" s="17"/>
      <c r="W3" s="18"/>
    </row>
    <row r="4" spans="1:26" ht="13.4" customHeight="1" thickBot="1" x14ac:dyDescent="0.4">
      <c r="A4" s="19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1"/>
    </row>
    <row r="5" spans="1:26" ht="7.5" customHeight="1" thickBot="1" x14ac:dyDescent="0.4"/>
    <row r="6" spans="1:26" s="2" customFormat="1" ht="15" customHeight="1" x14ac:dyDescent="0.45">
      <c r="A6" s="57" t="s">
        <v>10</v>
      </c>
      <c r="B6" s="58"/>
      <c r="C6" s="58"/>
      <c r="D6" s="58"/>
      <c r="E6" s="59"/>
      <c r="G6" s="47" t="s">
        <v>11</v>
      </c>
      <c r="H6" s="48"/>
      <c r="I6" s="48"/>
      <c r="J6" s="48"/>
      <c r="K6" s="49"/>
      <c r="L6" s="3"/>
      <c r="M6" s="47" t="s">
        <v>12</v>
      </c>
      <c r="N6" s="48"/>
      <c r="O6" s="48"/>
      <c r="P6" s="48"/>
      <c r="Q6" s="49"/>
      <c r="R6" s="3"/>
      <c r="S6" s="47" t="s">
        <v>13</v>
      </c>
      <c r="T6" s="48"/>
      <c r="U6" s="48"/>
      <c r="V6" s="48"/>
      <c r="W6" s="49"/>
    </row>
    <row r="7" spans="1:26" ht="13.4" customHeight="1" x14ac:dyDescent="0.45">
      <c r="A7" s="60"/>
      <c r="B7" s="61"/>
      <c r="C7" s="61"/>
      <c r="D7" s="61"/>
      <c r="E7" s="62"/>
      <c r="G7" s="50"/>
      <c r="H7" s="51"/>
      <c r="I7" s="51"/>
      <c r="J7" s="51"/>
      <c r="K7" s="52"/>
      <c r="L7" s="4"/>
      <c r="M7" s="50"/>
      <c r="N7" s="51"/>
      <c r="O7" s="51"/>
      <c r="P7" s="51"/>
      <c r="Q7" s="52"/>
      <c r="R7" s="4"/>
      <c r="S7" s="50"/>
      <c r="T7" s="51"/>
      <c r="U7" s="51"/>
      <c r="V7" s="51"/>
      <c r="W7" s="52"/>
    </row>
    <row r="8" spans="1:26" s="6" customFormat="1" ht="20.25" customHeight="1" x14ac:dyDescent="0.35">
      <c r="A8" s="53" t="s">
        <v>4</v>
      </c>
      <c r="B8" s="54"/>
      <c r="C8" s="54"/>
      <c r="D8" s="55" t="s">
        <v>5</v>
      </c>
      <c r="E8" s="56"/>
      <c r="G8" s="53" t="s">
        <v>4</v>
      </c>
      <c r="H8" s="54"/>
      <c r="I8" s="54"/>
      <c r="J8" s="55" t="s">
        <v>5</v>
      </c>
      <c r="K8" s="56"/>
      <c r="M8" s="53" t="s">
        <v>4</v>
      </c>
      <c r="N8" s="54"/>
      <c r="O8" s="54"/>
      <c r="P8" s="55" t="s">
        <v>5</v>
      </c>
      <c r="Q8" s="56"/>
      <c r="S8" s="53" t="s">
        <v>4</v>
      </c>
      <c r="T8" s="54"/>
      <c r="U8" s="54"/>
      <c r="V8" s="55" t="s">
        <v>5</v>
      </c>
      <c r="W8" s="56"/>
    </row>
    <row r="9" spans="1:26" s="2" customFormat="1" ht="15" thickBot="1" x14ac:dyDescent="0.4">
      <c r="A9" s="38" t="s">
        <v>3</v>
      </c>
      <c r="B9" s="39"/>
      <c r="C9" s="12" t="s">
        <v>1</v>
      </c>
      <c r="D9" s="8"/>
      <c r="E9" s="7" t="s">
        <v>1</v>
      </c>
      <c r="G9" s="38" t="s">
        <v>3</v>
      </c>
      <c r="H9" s="39"/>
      <c r="I9" s="12" t="s">
        <v>1</v>
      </c>
      <c r="J9" s="8"/>
      <c r="K9" s="7" t="s">
        <v>1</v>
      </c>
      <c r="M9" s="38" t="s">
        <v>3</v>
      </c>
      <c r="N9" s="39"/>
      <c r="O9" s="12" t="s">
        <v>1</v>
      </c>
      <c r="P9" s="12"/>
      <c r="Q9" s="7" t="s">
        <v>1</v>
      </c>
      <c r="S9" s="38" t="s">
        <v>3</v>
      </c>
      <c r="T9" s="39"/>
      <c r="U9" s="12" t="s">
        <v>1</v>
      </c>
      <c r="V9" s="12"/>
      <c r="W9" s="7" t="s">
        <v>1</v>
      </c>
      <c r="Z9" s="29"/>
    </row>
    <row r="10" spans="1:26" ht="23.5" customHeight="1" thickTop="1" x14ac:dyDescent="0.35">
      <c r="A10" s="25" t="s">
        <v>6</v>
      </c>
      <c r="B10" s="22"/>
      <c r="C10" s="28" t="str">
        <f>IF(B10="","",DMTDD(B10))</f>
        <v/>
      </c>
      <c r="D10" s="27"/>
      <c r="E10" s="5"/>
      <c r="G10" s="25" t="s">
        <v>6</v>
      </c>
      <c r="H10" s="22"/>
      <c r="I10" s="28" t="str">
        <f>IF(H10="","",IF(H10=B10,0,DMTDD(H10)))</f>
        <v/>
      </c>
      <c r="J10" s="27"/>
      <c r="K10" s="5"/>
      <c r="M10" s="25" t="s">
        <v>6</v>
      </c>
      <c r="N10" s="22"/>
      <c r="O10" s="28" t="str">
        <f>IF(N10="","",IF(OR(N10=H10,N10=B10),0,DMTDD(N10)))</f>
        <v/>
      </c>
      <c r="P10" s="27"/>
      <c r="Q10" s="5"/>
      <c r="S10" s="25" t="s">
        <v>6</v>
      </c>
      <c r="T10" s="22"/>
      <c r="U10" s="28" t="str">
        <f>IF(T10="","",IF(OR(T10=N10,T10=H10,T10=B10),0,DMTDD(T10)))</f>
        <v/>
      </c>
      <c r="V10" s="27"/>
      <c r="W10" s="5"/>
    </row>
    <row r="11" spans="1:26" ht="25.4" customHeight="1" x14ac:dyDescent="0.35">
      <c r="A11" s="25" t="s">
        <v>8</v>
      </c>
      <c r="B11" s="22"/>
      <c r="C11" s="28" t="str">
        <f>IF(B11="","",DMTDD(B11))</f>
        <v/>
      </c>
      <c r="D11" s="27"/>
      <c r="E11" s="5"/>
      <c r="G11" s="25" t="s">
        <v>8</v>
      </c>
      <c r="H11" s="22"/>
      <c r="I11" s="28" t="str">
        <f>IF(H11="","",IF(H11=B11,0,DMTDD(H11)))</f>
        <v/>
      </c>
      <c r="J11" s="27"/>
      <c r="K11" s="5"/>
      <c r="M11" s="25" t="s">
        <v>8</v>
      </c>
      <c r="N11" s="22"/>
      <c r="O11" s="28" t="str">
        <f>IF(N11="","",IF(OR(N11=H11,N11=B11),0,DMTDD(N11)))</f>
        <v/>
      </c>
      <c r="P11" s="27"/>
      <c r="Q11" s="5"/>
      <c r="S11" s="25" t="s">
        <v>8</v>
      </c>
      <c r="T11" s="22"/>
      <c r="U11" s="28" t="str">
        <f>IF(T11="","",IF(OR(T11=N11,T11=H11,T11=B11),0,DMTDD(T11)))</f>
        <v/>
      </c>
      <c r="V11" s="27"/>
      <c r="W11" s="5"/>
    </row>
    <row r="12" spans="1:26" ht="24.75" customHeight="1" x14ac:dyDescent="0.35">
      <c r="A12" s="26" t="s">
        <v>7</v>
      </c>
      <c r="B12" s="23"/>
      <c r="C12" s="28" t="str">
        <f>IF(B12="","",DMTDD(B12))</f>
        <v/>
      </c>
      <c r="D12" s="27"/>
      <c r="E12" s="1"/>
      <c r="G12" s="26" t="s">
        <v>7</v>
      </c>
      <c r="H12" s="23"/>
      <c r="I12" s="28" t="str">
        <f>IF(H12="","",IF(H12=B12,0,DMTDD(H12)))</f>
        <v/>
      </c>
      <c r="J12" s="27"/>
      <c r="K12" s="1"/>
      <c r="M12" s="26" t="s">
        <v>7</v>
      </c>
      <c r="N12" s="23"/>
      <c r="O12" s="28" t="str">
        <f>IF(N12="","",IF(OR(N12=H12,N12=B12),0,DMTDD(N12)))</f>
        <v/>
      </c>
      <c r="P12" s="27"/>
      <c r="Q12" s="1"/>
      <c r="S12" s="26" t="s">
        <v>7</v>
      </c>
      <c r="T12" s="23"/>
      <c r="U12" s="28" t="str">
        <f>IF(T12="","",IF(OR(T12=N12,T12=H12,T12=B12),0,DMTDD(T12)))</f>
        <v/>
      </c>
      <c r="V12" s="27"/>
      <c r="W12" s="1"/>
    </row>
    <row r="13" spans="1:26" s="2" customFormat="1" ht="20.149999999999999" customHeight="1" x14ac:dyDescent="0.35">
      <c r="A13" s="40" t="s">
        <v>0</v>
      </c>
      <c r="B13" s="41"/>
      <c r="C13" s="24" t="str">
        <f>IF(SUM(C10:C12)=0,"",SUM(C10:C12))</f>
        <v/>
      </c>
      <c r="D13" s="10" t="s">
        <v>2</v>
      </c>
      <c r="E13" s="9"/>
      <c r="G13" s="43" t="s">
        <v>0</v>
      </c>
      <c r="H13" s="44"/>
      <c r="I13" s="24" t="str">
        <f>IF(SUM(I10:I12)=0,"",SUM(I10:I12))</f>
        <v/>
      </c>
      <c r="J13" s="10" t="s">
        <v>2</v>
      </c>
      <c r="K13" s="11"/>
      <c r="M13" s="43" t="s">
        <v>0</v>
      </c>
      <c r="N13" s="44"/>
      <c r="O13" s="24" t="str">
        <f>IF(SUM(O10:O12)=0,"",SUM(O10:O12))</f>
        <v/>
      </c>
      <c r="P13" s="10" t="s">
        <v>2</v>
      </c>
      <c r="Q13" s="11"/>
      <c r="S13" s="43" t="s">
        <v>0</v>
      </c>
      <c r="T13" s="44"/>
      <c r="U13" s="24" t="str">
        <f>IF(SUM(U10:U12)=0,"",SUM(U10:U12))</f>
        <v/>
      </c>
      <c r="V13" s="10" t="s">
        <v>2</v>
      </c>
      <c r="W13" s="11"/>
      <c r="Y13" s="29"/>
    </row>
    <row r="14" spans="1:26" s="2" customFormat="1" ht="19" customHeight="1" x14ac:dyDescent="0.35">
      <c r="A14" s="40" t="s">
        <v>17</v>
      </c>
      <c r="B14" s="41"/>
      <c r="C14" s="24" t="str">
        <f>IF(C13="","",IF(AND(B10="8-1&lt;",C10&lt;&gt;0,OR(AND($L$3="Women/Femmes",OR($P$3="L6-Espoir 17U",$P$3="L6-Espoir 18+")),AND($L$3="Men/Hommes",OR($P$3="L5-Novice 16U",$P$3="L5-Novice 17+")))),0.5,0)+IF(AND(B10="12--1o",C10&lt;&gt;0,$L$3="Men/Hommes",$P$3="Senior"),1,0)+IF(AND(IF(NOT(ISNUMBER(MID(B12,2,1)*1)),0,MID(B12,2,1))+IF(NOT(ISNUMBER(MID(B12,3,1)*1)),0,MID(B12,3,1))&gt;=3,C12&lt;&gt;0,$L$3="Women/Femmes",$P$3="Senior",LEFT(B12)="8"),0.3,0)+IF(AND(IF(NOT(ISNUMBER(MID(B10,2,1)*1)),0,MID(B10,2,1))+IF(NOT(ISNUMBER(MID(B10,3,1)*1)),0,MID(B10,3,1))&gt;=3,C10&lt;&gt;0,$L$3="Women/Femmes",$P$3="Senior",LEFT(B10)="8"),0.5,0))</f>
        <v/>
      </c>
      <c r="D14" s="10" t="s">
        <v>18</v>
      </c>
      <c r="E14" s="9"/>
      <c r="G14" s="43" t="s">
        <v>17</v>
      </c>
      <c r="H14" s="44"/>
      <c r="I14" s="24" t="str">
        <f>IF(I13="","",IF(AND(H10="8-1&lt;",I10&lt;&gt;0,OR(AND($L$3="Women/Femmes",OR($P$3="L6-Espoir 17U",$P$3="L6-Espoir 18+")),AND($L$3="Men/Hommes",OR($P$3="L5-Novice 16U",$P$3="L5-Novice 17+")))),0.5,0)+IF(AND(H10="12--1o",I10&lt;&gt;0,$L$3="Men/Hommes",$P$3="Senior"),1,0)+IF(AND(IF(NOT(ISNUMBER(MID(H12,2,1)*1)),0,MID(H12,2,1))+IF(NOT(ISNUMBER(MID(H12,3,1)*1)),0,MID(H12,3,1))&gt;=3,I12&lt;&gt;0,$L$3="Women/Femmes",$P$3="Senior",LEFT(H12)="8"),0.3,0)+IF(AND(IF(NOT(ISNUMBER(MID(H10,2,1)*1)),0,MID(H10,2,1))+IF(NOT(ISNUMBER(MID(H10,3,1)*1)),0,MID(H10,3,1))&gt;=3,I10&lt;&gt;0,$L$3="Women/Femmes",$P$3="Senior",LEFT(H10)="8"),0.5,0))</f>
        <v/>
      </c>
      <c r="J14" s="10" t="s">
        <v>18</v>
      </c>
      <c r="K14" s="11"/>
      <c r="M14" s="43" t="s">
        <v>17</v>
      </c>
      <c r="N14" s="44"/>
      <c r="O14" s="24" t="str">
        <f>IF(O13="","",IF(AND(N10="8-1&lt;",O10&lt;&gt;0,OR(AND($L$3="Women/Femmes",OR($P$3="L6-Espoir 17U",$P$3="L6-Espoir 18+")),AND($L$3="Men/Hommes",OR($P$3="L5-Novice 16U",$P$3="L5-Novice 17+")))),0.5,0)+IF(AND(N10="12--1o",O10&lt;&gt;0,$L$3="Men/Hommes",$P$3="Senior"),1,0)+IF(AND(IF(NOT(ISNUMBER(MID(N12,2,1)*1)),0,MID(N12,2,1))+IF(NOT(ISNUMBER(MID(N12,3,1)*1)),0,MID(N12,3,1))&gt;=3,O12&lt;&gt;0,$L$3="Women/Femmes",$P$3="Senior",LEFT(N12)="8"),0.3,0)+IF(AND(IF(NOT(ISNUMBER(MID(N10,2,1)*1)),0,MID(N10,2,1))+IF(NOT(ISNUMBER(MID(N10,3,1)*1)),0,MID(N10,3,1))&gt;=3,O10&lt;&gt;0,$L$3="Women/Femmes",$P$3="Senior",LEFT(N10)="8"),0.5,0))</f>
        <v/>
      </c>
      <c r="P14" s="10" t="s">
        <v>18</v>
      </c>
      <c r="Q14" s="11"/>
      <c r="S14" s="43" t="s">
        <v>17</v>
      </c>
      <c r="T14" s="44"/>
      <c r="U14" s="24" t="str">
        <f>IF(U13="","",IF(AND(T10="8-1&lt;",U10&lt;&gt;0,OR(AND($L$3="Women/Femmes",OR($P$3="L6-Espoir 17U",$P$3="L6-Espoir 18+")),AND($L$3="Men/Hommes",OR($P$3="L5-Novice 16U",$P$3="L5-Novice 17+")))),0.5,0)+IF(AND(T10="12--1o",U10&lt;&gt;0,$L$3="Men/Hommes",$P$3="Senior"),1,0)+IF(AND(IF(NOT(ISNUMBER(MID(T12,2,1)*1)),0,MID(T12,2,1))+IF(NOT(ISNUMBER(MID(T12,3,1)*1)),0,MID(T12,3,1))&gt;=3,U12&lt;&gt;0,$L$3="Women/Femmes",$P$3="Senior",LEFT(T12)="8"),0.3,0)+IF(AND(IF(NOT(ISNUMBER(MID(T10,2,1)*1)),0,MID(T10,2,1))+IF(NOT(ISNUMBER(MID(T10,3,1)*1)),0,MID(T10,3,1))&gt;=3,U10&lt;&gt;0,$L$3="Women/Femmes",$P$3="Senior",LEFT(T10)="8"),0.5,0))</f>
        <v/>
      </c>
      <c r="V14" s="10" t="s">
        <v>18</v>
      </c>
      <c r="W14" s="11"/>
    </row>
    <row r="15" spans="1:26" s="2" customFormat="1" ht="20.25" customHeight="1" thickBot="1" x14ac:dyDescent="0.4">
      <c r="A15" s="42" t="s">
        <v>9</v>
      </c>
      <c r="B15" s="42"/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</row>
    <row r="16" spans="1:26" ht="24" customHeight="1" x14ac:dyDescent="0.35">
      <c r="A16" s="35" t="s">
        <v>23</v>
      </c>
      <c r="B16" s="36"/>
      <c r="C16" s="36"/>
      <c r="D16" s="36"/>
      <c r="E16" s="37"/>
      <c r="G16" s="35" t="s">
        <v>23</v>
      </c>
      <c r="H16" s="36"/>
      <c r="I16" s="36"/>
      <c r="J16" s="36"/>
      <c r="K16" s="37"/>
      <c r="M16" s="35" t="s">
        <v>23</v>
      </c>
      <c r="N16" s="36"/>
      <c r="O16" s="36"/>
      <c r="P16" s="36"/>
      <c r="Q16" s="37"/>
      <c r="S16" s="35" t="s">
        <v>23</v>
      </c>
      <c r="T16" s="36"/>
      <c r="U16" s="36"/>
      <c r="V16" s="36"/>
      <c r="W16" s="37"/>
    </row>
    <row r="17" spans="1:23" ht="16" customHeight="1" x14ac:dyDescent="0.35">
      <c r="A17" s="32" t="str">
        <f>IF(B17&lt;&gt;"","r","")</f>
        <v/>
      </c>
      <c r="B17" s="68" t="str">
        <f>IF(OR($P$3="L5-Novice 16U",$P$3="L5-Novice 17+"),"2 double saltos (over 2 prelims passes)",IF(OR($P$3="L6-Espoir 17U",$P$3="L6-Espoir 18+",$P$3="Junior",AND($P$3="Senior",$L$3="Women/Femmes")),"1 double salto",IF(AND($P$3="Senior",$L$3="Men/Hommes"),"Double to double or better","")))</f>
        <v/>
      </c>
      <c r="C17" s="68"/>
      <c r="D17" s="68"/>
      <c r="E17" s="69"/>
      <c r="G17" s="32" t="str">
        <f>IF(H17&lt;&gt;"","r","")</f>
        <v/>
      </c>
      <c r="H17" s="68" t="str">
        <f>IF(OR($P$3="L5-Novice 16U",$P$3="L5-Novice 17+"),"2 double saltos (over 2 prelims passes)",IF(OR($P$3="L6-Espoir 17U",$P$3="L6-Espoir 18+",$P$3="Junior",AND($P$3="Senior",$L$3="Women/Femmes")),"1 double salto",IF(AND($P$3="Senior",$L$3="Men/Hommes"),"Double to double or better","")))</f>
        <v/>
      </c>
      <c r="I17" s="68"/>
      <c r="J17" s="68"/>
      <c r="K17" s="69"/>
      <c r="M17" s="32" t="str">
        <f>IF(N17&lt;&gt;"","r","")</f>
        <v/>
      </c>
      <c r="N17" s="68" t="str">
        <f>IF(OR($P$3="L6-Espoir 17U",$P$3="L6-Espoir 18+",$P$3="Junior",AND($P$3="Senior",$L$3="Women/Femmes")),"1 double salto",IF(AND($P$3="Senior",$L$3="Men/Hommes"),"Double to double or better",""))</f>
        <v/>
      </c>
      <c r="O17" s="68"/>
      <c r="P17" s="68"/>
      <c r="Q17" s="69"/>
      <c r="S17" s="32" t="str">
        <f>IF(T17&lt;&gt;"","r","")</f>
        <v/>
      </c>
      <c r="T17" s="68" t="str">
        <f>IF(OR($P$3="L6-Espoir 17U",$P$3="L6-Espoir 18+",$P$3="Junior",AND($P$3="Senior",$L$3="Women/Femmes")),"1 double salto",IF(AND($P$3="Senior",$L$3="Men/Hommes"),"Double to double or better",""))</f>
        <v/>
      </c>
      <c r="U17" s="68"/>
      <c r="V17" s="68"/>
      <c r="W17" s="69"/>
    </row>
    <row r="18" spans="1:23" ht="15" thickBot="1" x14ac:dyDescent="0.4">
      <c r="A18" s="34" t="str">
        <f>IF(B18&lt;&gt;"","r","")</f>
        <v/>
      </c>
      <c r="B18" s="70" t="str">
        <f>IF(OR($P$3="L5-Novice 16U",$P$3="L5-Novice 17+"),"1 element 1.2 or higher",IF(OR($P$3="Junior",AND($P$3="Senior",$L$3="Women/Femmes")),"Double to double or better (2 prelims passes)",""))</f>
        <v/>
      </c>
      <c r="C18" s="70"/>
      <c r="D18" s="70"/>
      <c r="E18" s="71"/>
      <c r="G18" s="34" t="str">
        <f>IF(H18&lt;&gt;"","r","")</f>
        <v/>
      </c>
      <c r="H18" s="70" t="str">
        <f>IF(OR($P$3="L5-Novice 16U",$P$3="L5-Novice 17+"),"1 element 1.2 or higher",IF(OR($P$3="Junior",AND($P$3="Senior",$L$3="Women/Femmes")),"Double to double or better (2 prelims passes)",""))</f>
        <v/>
      </c>
      <c r="I18" s="70"/>
      <c r="J18" s="70"/>
      <c r="K18" s="71"/>
      <c r="M18" s="34" t="str">
        <f>IF(N18&lt;&gt;"","r","")</f>
        <v/>
      </c>
      <c r="N18" s="72" t="str">
        <f>IF(OR($P$3="Junior",AND($P$3="Senior",$L$3="Women/Femmes")),"Double to double or better (2 prelims passes)","")</f>
        <v/>
      </c>
      <c r="O18" s="72"/>
      <c r="P18" s="72"/>
      <c r="Q18" s="73"/>
      <c r="S18" s="34" t="str">
        <f>IF(T18&lt;&gt;"","r","")</f>
        <v/>
      </c>
      <c r="T18" s="72" t="str">
        <f>IF(OR($P$3="Junior",AND($P$3="Senior",$L$3="Women/Femmes")),"Double to double or better (2 prelims passes)","")</f>
        <v/>
      </c>
      <c r="U18" s="72"/>
      <c r="V18" s="72"/>
      <c r="W18" s="73"/>
    </row>
    <row r="19" spans="1:23" ht="8.25" customHeight="1" thickBot="1" x14ac:dyDescent="0.4"/>
    <row r="20" spans="1:23" ht="18.5" x14ac:dyDescent="0.45">
      <c r="A20" s="47" t="s">
        <v>15</v>
      </c>
      <c r="B20" s="48"/>
      <c r="C20" s="48"/>
      <c r="D20" s="48"/>
      <c r="E20" s="49"/>
      <c r="F20" s="2"/>
      <c r="G20" s="47" t="s">
        <v>14</v>
      </c>
      <c r="H20" s="48"/>
      <c r="I20" s="48"/>
      <c r="J20" s="48"/>
      <c r="K20" s="49"/>
      <c r="L20" s="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</row>
    <row r="21" spans="1:23" ht="5.5" customHeight="1" x14ac:dyDescent="0.45">
      <c r="A21" s="50"/>
      <c r="B21" s="51"/>
      <c r="C21" s="51"/>
      <c r="D21" s="51"/>
      <c r="E21" s="52"/>
      <c r="G21" s="50"/>
      <c r="H21" s="51"/>
      <c r="I21" s="51"/>
      <c r="J21" s="51"/>
      <c r="K21" s="52"/>
      <c r="L21" s="4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</row>
    <row r="22" spans="1:23" ht="16" customHeight="1" x14ac:dyDescent="0.35">
      <c r="A22" s="53" t="s">
        <v>4</v>
      </c>
      <c r="B22" s="54"/>
      <c r="C22" s="54"/>
      <c r="D22" s="55" t="s">
        <v>5</v>
      </c>
      <c r="E22" s="56"/>
      <c r="F22" s="6"/>
      <c r="G22" s="53" t="s">
        <v>4</v>
      </c>
      <c r="H22" s="54"/>
      <c r="I22" s="54"/>
      <c r="J22" s="55" t="s">
        <v>5</v>
      </c>
      <c r="K22" s="56"/>
      <c r="L22" s="6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</row>
    <row r="23" spans="1:23" ht="16" customHeight="1" thickBot="1" x14ac:dyDescent="0.4">
      <c r="A23" s="38" t="s">
        <v>3</v>
      </c>
      <c r="B23" s="39"/>
      <c r="C23" s="12" t="s">
        <v>1</v>
      </c>
      <c r="D23" s="8"/>
      <c r="E23" s="7" t="s">
        <v>1</v>
      </c>
      <c r="F23" s="2"/>
      <c r="G23" s="38" t="s">
        <v>3</v>
      </c>
      <c r="H23" s="39"/>
      <c r="I23" s="12" t="s">
        <v>1</v>
      </c>
      <c r="J23" s="8"/>
      <c r="K23" s="7" t="s">
        <v>1</v>
      </c>
      <c r="L23" s="2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</row>
    <row r="24" spans="1:23" ht="19.75" customHeight="1" thickTop="1" x14ac:dyDescent="0.35">
      <c r="A24" s="25" t="s">
        <v>6</v>
      </c>
      <c r="B24" s="22"/>
      <c r="C24" s="28" t="str">
        <f>IF(B24="","",DMTDD(B24))</f>
        <v/>
      </c>
      <c r="D24" s="27"/>
      <c r="E24" s="5"/>
      <c r="G24" s="25" t="s">
        <v>6</v>
      </c>
      <c r="H24" s="22"/>
      <c r="I24" s="28" t="str">
        <f>IF(H24="","",IF(H24=B24,0,DMTDD(H24)))</f>
        <v/>
      </c>
      <c r="J24" s="27"/>
      <c r="K24" s="5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</row>
    <row r="25" spans="1:23" ht="20.5" customHeight="1" x14ac:dyDescent="0.35">
      <c r="A25" s="25" t="s">
        <v>8</v>
      </c>
      <c r="B25" s="22"/>
      <c r="C25" s="28" t="str">
        <f>IF(B25="","",DMTDD(B25))</f>
        <v/>
      </c>
      <c r="D25" s="27"/>
      <c r="E25" s="5"/>
      <c r="G25" s="25" t="s">
        <v>8</v>
      </c>
      <c r="H25" s="22"/>
      <c r="I25" s="28" t="str">
        <f>IF(H25="","",IF(H25=B25,0,DMTDD(H25)))</f>
        <v/>
      </c>
      <c r="J25" s="27"/>
      <c r="K25" s="5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</row>
    <row r="26" spans="1:23" ht="21.75" customHeight="1" x14ac:dyDescent="0.35">
      <c r="A26" s="26" t="s">
        <v>7</v>
      </c>
      <c r="B26" s="23"/>
      <c r="C26" s="28" t="str">
        <f>IF(B26="","",DMTDD(B26))</f>
        <v/>
      </c>
      <c r="D26" s="27"/>
      <c r="E26" s="1"/>
      <c r="G26" s="26" t="s">
        <v>7</v>
      </c>
      <c r="H26" s="23"/>
      <c r="I26" s="28" t="str">
        <f>IF(H26="","",IF(H26=B26,0,DMTDD(H26)))</f>
        <v/>
      </c>
      <c r="J26" s="27"/>
      <c r="K26" s="1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</row>
    <row r="27" spans="1:23" ht="18.75" customHeight="1" x14ac:dyDescent="0.35">
      <c r="A27" s="40" t="s">
        <v>0</v>
      </c>
      <c r="B27" s="41"/>
      <c r="C27" s="24" t="str">
        <f>IF(SUM(C24:C26)=0,"",SUM(C24:C26))</f>
        <v/>
      </c>
      <c r="D27" s="10" t="s">
        <v>2</v>
      </c>
      <c r="E27" s="9"/>
      <c r="F27" s="2"/>
      <c r="G27" s="43" t="s">
        <v>0</v>
      </c>
      <c r="H27" s="44"/>
      <c r="I27" s="24" t="str">
        <f>IF(SUM(I24:I26)=0,"",SUM(I24:I26))</f>
        <v/>
      </c>
      <c r="J27" s="10" t="s">
        <v>2</v>
      </c>
      <c r="K27" s="11"/>
      <c r="L27" s="2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</row>
    <row r="28" spans="1:23" ht="18.75" customHeight="1" x14ac:dyDescent="0.35">
      <c r="A28" s="40" t="s">
        <v>17</v>
      </c>
      <c r="B28" s="41"/>
      <c r="C28" s="24" t="str">
        <f>IF(C27="","",IF(AND(B24="8-1&lt;",C24&lt;&gt;0,OR(AND($L$3="Women/Femmes",OR($P$3="L6-Espoir 17U",$P$3="L6-Espoir 18+")),AND($L$3="Men/Hommes",OR($P$3="L5-Novice 16U",$P$3="L5-Novice 17+")))),0.5,0)+IF(AND(B24="12--1o",C24&lt;&gt;0,$L$3="Men/Hommes",$P$3="Senior"),1,0)+IF(AND(IF(NOT(ISNUMBER(MID(B26,2,1)*1)),0,MID(B26,2,1))+IF(NOT(ISNUMBER(MID(B26,3,1)*1)),0,MID(B26,3,1))&gt;=3,C26&lt;&gt;0,$L$3="Women/Femmes",$P$3="Senior",LEFT(B26)="8"),0.3,0)+IF(AND(IF(NOT(ISNUMBER(MID(B24,2,1)*1)),0,MID(B24,2,1))+IF(NOT(ISNUMBER(MID(B24,3,1)*1)),0,MID(B24,3,1))&gt;=3,C24&lt;&gt;0,$L$3="Women/Femmes",$P$3="Senior",LEFT(B24)="8"),0.5,0))</f>
        <v/>
      </c>
      <c r="D28" s="10" t="s">
        <v>18</v>
      </c>
      <c r="E28" s="9"/>
      <c r="F28" s="2"/>
      <c r="G28" s="40" t="s">
        <v>17</v>
      </c>
      <c r="H28" s="41"/>
      <c r="I28" s="24" t="str">
        <f>IF(I27="","",IF(AND(H24="8-1&lt;",I24&lt;&gt;0,OR(AND($L$3="Women/Femmes",OR($P$3="L6-Espoir 17U",$P$3="L6-Espoir 18+")),AND($L$3="Men/Hommes",OR($P$3="L5-Novice 16U",$P$3="L5-Novice 17+")))),0.5,0)+IF(AND(H24="12--1o",I24&lt;&gt;0,$L$3="Men/Hommes",$P$3="Senior"),1,0)+IF(AND(IF(NOT(ISNUMBER(MID(H26,2,1)*1)),0,MID(H26,2,1))+IF(NOT(ISNUMBER(MID(H26,3,1)*1)),0,MID(H26,3,1))&gt;=3,I26&lt;&gt;0,$L$3="Women/Femmes",$P$3="Senior",LEFT(H26)="8"),0.3,0)+IF(AND(IF(NOT(ISNUMBER(MID(H24,2,1)*1)),0,MID(H24,2,1))+IF(NOT(ISNUMBER(MID(H24,3,1)*1)),0,MID(H24,3,1))&gt;=3,I24&lt;&gt;0,$L$3="Women/Femmes",$P$3="Senior",LEFT(H24)="8"),0.5,0))</f>
        <v/>
      </c>
      <c r="J28" s="10" t="s">
        <v>18</v>
      </c>
      <c r="K28" s="11"/>
      <c r="L28" s="2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</row>
    <row r="29" spans="1:23" ht="15" thickBot="1" x14ac:dyDescent="0.4">
      <c r="A29" s="42" t="s">
        <v>9</v>
      </c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</row>
    <row r="30" spans="1:23" ht="24" customHeight="1" x14ac:dyDescent="0.35">
      <c r="A30" s="35" t="s">
        <v>23</v>
      </c>
      <c r="B30" s="36"/>
      <c r="C30" s="36"/>
      <c r="D30" s="36"/>
      <c r="E30" s="37"/>
      <c r="G30" s="35" t="s">
        <v>23</v>
      </c>
      <c r="H30" s="36"/>
      <c r="I30" s="36"/>
      <c r="J30" s="36"/>
      <c r="K30" s="37"/>
      <c r="M30" s="30"/>
      <c r="N30" s="30"/>
      <c r="O30" s="30"/>
      <c r="P30" s="30"/>
      <c r="Q30" s="30"/>
      <c r="R30" s="30"/>
      <c r="S30" s="30"/>
      <c r="T30" s="30"/>
      <c r="U30" s="30"/>
      <c r="V30" s="30"/>
      <c r="W30" s="30"/>
    </row>
    <row r="31" spans="1:23" ht="16" customHeight="1" x14ac:dyDescent="0.35">
      <c r="A31" s="32" t="str">
        <f>IF(B31&lt;&gt;"","r","")</f>
        <v/>
      </c>
      <c r="B31" s="68" t="str">
        <f>IF(OR($P$3="L5-Novice 16U",$P$3="L5-Novice 17+"),"1 element 1.2 or higher",IF(OR($P$3="L6-Espoir 17U",$P$3="L6-Espoir 18+",$P$3="Junior",AND($P$3="Senior",$L$3="Women/Femmes")),"1 double salto",IF(AND($P$3="Senior",$L$3="Men/Hommes"),"Double to double or better","")))</f>
        <v/>
      </c>
      <c r="C31" s="68"/>
      <c r="D31" s="68"/>
      <c r="E31" s="69"/>
      <c r="G31" s="32" t="str">
        <f>IF(H31&lt;&gt;"","r","")</f>
        <v/>
      </c>
      <c r="H31" s="68" t="str">
        <f>IF(OR($P$3="L5-Novice 16U",$P$3="L5-Novice 17+"),"1 element 1.2 or higher",IF(OR($P$3="L6-Espoir 17U",$P$3="L6-Espoir 18+",$P$3="Junior",AND($P$3="Senior",$L$3="Women/Femmes")),"1 double salto",IF(AND($P$3="Senior",$L$3="Men/Hommes"),"Double to double or better","")))</f>
        <v/>
      </c>
      <c r="I31" s="68"/>
      <c r="J31" s="68"/>
      <c r="K31" s="69"/>
      <c r="M31" s="30"/>
      <c r="N31" s="30"/>
      <c r="O31" s="30"/>
      <c r="P31" s="30"/>
      <c r="Q31" s="30"/>
      <c r="R31" s="30"/>
      <c r="S31" s="30"/>
      <c r="T31" s="30"/>
      <c r="U31" s="30"/>
      <c r="V31" s="30"/>
      <c r="W31" s="30"/>
    </row>
    <row r="32" spans="1:23" ht="15" thickBot="1" x14ac:dyDescent="0.4">
      <c r="A32" s="34" t="str">
        <f>IF(B32&lt;&gt;"","r","")</f>
        <v/>
      </c>
      <c r="B32" s="70" t="str">
        <f>IF(AND($P$3="Senior",$L$3="Women/Femmes"),"Double to double or better (1 finals pass)","")</f>
        <v/>
      </c>
      <c r="C32" s="70"/>
      <c r="D32" s="70"/>
      <c r="E32" s="71"/>
      <c r="G32" s="34" t="str">
        <f>IF(H32&lt;&gt;"","r","")</f>
        <v/>
      </c>
      <c r="H32" s="70" t="str">
        <f>IF(AND($P$3="Senior",$L$3="Women/Femmes"),"Double to double or better (1 finals pass)","")</f>
        <v/>
      </c>
      <c r="I32" s="70"/>
      <c r="J32" s="70"/>
      <c r="K32" s="71"/>
      <c r="M32" s="30"/>
      <c r="N32" s="30"/>
      <c r="O32" s="30"/>
      <c r="P32" s="30"/>
      <c r="Q32" s="30"/>
      <c r="R32" s="30"/>
      <c r="S32" s="30"/>
      <c r="T32" s="30"/>
      <c r="U32" s="30"/>
      <c r="V32" s="30"/>
      <c r="W32" s="30"/>
    </row>
  </sheetData>
  <sheetProtection sheet="1" objects="1" scenarios="1"/>
  <mergeCells count="62">
    <mergeCell ref="S2:T2"/>
    <mergeCell ref="S3:T3"/>
    <mergeCell ref="B31:E31"/>
    <mergeCell ref="H31:K31"/>
    <mergeCell ref="B32:E32"/>
    <mergeCell ref="H32:K32"/>
    <mergeCell ref="B17:E17"/>
    <mergeCell ref="B18:E18"/>
    <mergeCell ref="H17:K17"/>
    <mergeCell ref="H18:K18"/>
    <mergeCell ref="N17:Q17"/>
    <mergeCell ref="N18:Q18"/>
    <mergeCell ref="S16:W16"/>
    <mergeCell ref="T17:W17"/>
    <mergeCell ref="T18:W18"/>
    <mergeCell ref="G3:J3"/>
    <mergeCell ref="B3:D3"/>
    <mergeCell ref="M8:O8"/>
    <mergeCell ref="M6:Q7"/>
    <mergeCell ref="A13:B13"/>
    <mergeCell ref="G13:H13"/>
    <mergeCell ref="M13:N13"/>
    <mergeCell ref="P8:Q8"/>
    <mergeCell ref="A9:B9"/>
    <mergeCell ref="G9:H9"/>
    <mergeCell ref="A8:C8"/>
    <mergeCell ref="A16:E16"/>
    <mergeCell ref="G16:K16"/>
    <mergeCell ref="M16:Q16"/>
    <mergeCell ref="G14:H14"/>
    <mergeCell ref="A14:B14"/>
    <mergeCell ref="D22:E22"/>
    <mergeCell ref="G22:I22"/>
    <mergeCell ref="A20:E21"/>
    <mergeCell ref="G20:K21"/>
    <mergeCell ref="A22:C22"/>
    <mergeCell ref="J22:K22"/>
    <mergeCell ref="A1:W1"/>
    <mergeCell ref="A15:W15"/>
    <mergeCell ref="S6:W7"/>
    <mergeCell ref="S8:U8"/>
    <mergeCell ref="V8:W8"/>
    <mergeCell ref="S9:T9"/>
    <mergeCell ref="M9:N9"/>
    <mergeCell ref="A6:E7"/>
    <mergeCell ref="G6:K7"/>
    <mergeCell ref="M14:N14"/>
    <mergeCell ref="S13:T13"/>
    <mergeCell ref="S14:T14"/>
    <mergeCell ref="D8:E8"/>
    <mergeCell ref="G8:I8"/>
    <mergeCell ref="J8:K8"/>
    <mergeCell ref="L3:N3"/>
    <mergeCell ref="A30:E30"/>
    <mergeCell ref="G30:K30"/>
    <mergeCell ref="A23:B23"/>
    <mergeCell ref="G23:H23"/>
    <mergeCell ref="A28:B28"/>
    <mergeCell ref="G28:H28"/>
    <mergeCell ref="A29:W29"/>
    <mergeCell ref="A27:B27"/>
    <mergeCell ref="G27:H27"/>
  </mergeCells>
  <conditionalFormatting sqref="M6:Q14 M16:Q18 S6:W14 S16:W18">
    <cfRule type="expression" dxfId="0" priority="1">
      <formula>IF(OR($P$3="L5-Novice 16U",$P$3="L5-Novice 17+"),1,0)</formula>
    </cfRule>
  </conditionalFormatting>
  <dataValidations count="2">
    <dataValidation type="list" allowBlank="1" showInputMessage="1" showErrorMessage="1" sqref="P3" xr:uid="{00000000-0002-0000-0000-000000000000}">
      <formula1>"Choose:,L5-Novice 16U, L5-Novice 17+, L6-Espoir 17U, L6-Espoir 18+, Junior, Senior"</formula1>
    </dataValidation>
    <dataValidation type="list" allowBlank="1" showInputMessage="1" showErrorMessage="1" sqref="L3:N3" xr:uid="{00000000-0002-0000-0000-000001000000}">
      <formula1>"Choose:,Women/Femmes, Men/Hommes"</formula1>
    </dataValidation>
  </dataValidations>
  <pageMargins left="0.39370078740157483" right="0.39370078740157483" top="0.39370078740157483" bottom="0.19685039370078741" header="0.31496062992125984" footer="0.31496062992125984"/>
  <pageSetup scale="73" orientation="landscape" r:id="rId1"/>
  <headerFooter>
    <oddFooter xml:space="preserve">&amp;R2018 version                         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DD DMT</vt:lpstr>
      <vt:lpstr>'DD DMT'!Print_Area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Niki Lavoie</dc:creator>
  <cp:lastModifiedBy>Niki Lavoie</cp:lastModifiedBy>
  <cp:lastPrinted>2018-06-01T12:40:48Z</cp:lastPrinted>
  <dcterms:created xsi:type="dcterms:W3CDTF">2006-09-12T15:06:44Z</dcterms:created>
  <dcterms:modified xsi:type="dcterms:W3CDTF">2018-06-04T13:09:42Z</dcterms:modified>
</cp:coreProperties>
</file>