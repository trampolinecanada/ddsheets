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Previous Versions/2021/Electronic/v1.0/"/>
    </mc:Choice>
  </mc:AlternateContent>
  <xr:revisionPtr revIDLastSave="0" documentId="13_ncr:1_{F409479D-8D7E-1D4F-A039-E8639488038B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SYN'!$A$1:$AC$27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4" i="1" l="1"/>
  <c r="D23" i="1"/>
  <c r="D24" i="1"/>
  <c r="J25" i="1"/>
  <c r="AF11" i="1" a="1"/>
  <c r="AF11" i="1"/>
  <c r="AF12" i="1" a="1"/>
  <c r="AF12" i="1"/>
  <c r="AF13" i="1" a="1"/>
  <c r="AF13" i="1"/>
  <c r="AF14" i="1" a="1"/>
  <c r="AF14" i="1"/>
  <c r="AF15" i="1" a="1"/>
  <c r="AF15" i="1"/>
  <c r="AF16" i="1" a="1"/>
  <c r="AF16" i="1"/>
  <c r="AF17" i="1" a="1"/>
  <c r="AF17" i="1"/>
  <c r="AF18" i="1" a="1"/>
  <c r="AF18" i="1"/>
  <c r="AF19" i="1" a="1"/>
  <c r="AF19" i="1"/>
  <c r="AF10" i="1" a="1"/>
  <c r="AF10" i="1"/>
  <c r="Q16" i="1" a="1"/>
  <c r="Q16" i="1"/>
  <c r="Q12" i="1" a="1"/>
  <c r="Q12" i="1"/>
  <c r="Q13" i="1" a="1"/>
  <c r="Q13" i="1"/>
  <c r="Q14" i="1" a="1"/>
  <c r="Q14" i="1"/>
  <c r="Q15" i="1" a="1"/>
  <c r="Q15" i="1"/>
  <c r="Q17" i="1" a="1"/>
  <c r="Q17" i="1"/>
  <c r="Q18" i="1" a="1"/>
  <c r="Q18" i="1"/>
  <c r="Q19" i="1" a="1"/>
  <c r="Q19" i="1"/>
  <c r="Q11" i="1" a="1"/>
  <c r="Q11" i="1"/>
  <c r="Q10" i="1" a="1"/>
  <c r="Q10" i="1"/>
  <c r="K10" i="1" a="1"/>
  <c r="K10" i="1"/>
  <c r="K11" i="1" a="1"/>
  <c r="K11" i="1"/>
  <c r="K12" i="1" a="1"/>
  <c r="K12" i="1"/>
  <c r="K13" i="1" a="1"/>
  <c r="K14" i="1" a="1"/>
  <c r="K15" i="1" a="1"/>
  <c r="K16" i="1" a="1"/>
  <c r="K17" i="1" a="1"/>
  <c r="K18" i="1" a="1"/>
  <c r="K19" i="1" a="1"/>
  <c r="K13" i="1"/>
  <c r="K14" i="1"/>
  <c r="K15" i="1"/>
  <c r="K16" i="1"/>
  <c r="K17" i="1"/>
  <c r="K18" i="1"/>
  <c r="K19" i="1"/>
  <c r="Y10" i="1" a="1"/>
  <c r="Y10" i="1"/>
  <c r="Y11" i="1" a="1"/>
  <c r="Y11" i="1"/>
  <c r="Y12" i="1" a="1"/>
  <c r="Y13" i="1" a="1"/>
  <c r="Y14" i="1" a="1"/>
  <c r="Y15" i="1" a="1"/>
  <c r="Y16" i="1" a="1"/>
  <c r="Y17" i="1" a="1"/>
  <c r="Y18" i="1" a="1"/>
  <c r="Y19" i="1" a="1"/>
  <c r="Y12" i="1"/>
  <c r="Y13" i="1"/>
  <c r="Y14" i="1"/>
  <c r="Y15" i="1"/>
  <c r="Y16" i="1"/>
  <c r="Y17" i="1"/>
  <c r="Y18" i="1"/>
  <c r="Y19" i="1"/>
  <c r="J27" i="1" a="1"/>
  <c r="J27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L27" i="1"/>
  <c r="P27" i="1" a="1"/>
  <c r="P27" i="1"/>
  <c r="Q20" i="1"/>
  <c r="K20" i="1"/>
  <c r="AB3" i="1"/>
  <c r="Y20" i="1"/>
  <c r="P25" i="1"/>
  <c r="Z3" i="1"/>
  <c r="P23" i="1"/>
  <c r="E20" i="1"/>
  <c r="D26" i="1"/>
  <c r="AD10" i="1" a="1"/>
  <c r="AD10" i="1"/>
  <c r="AE10" i="1" a="1"/>
  <c r="AE10" i="1"/>
  <c r="AE11" i="1" a="1"/>
  <c r="AE11" i="1"/>
  <c r="AE12" i="1" a="1"/>
  <c r="AE12" i="1"/>
  <c r="AE13" i="1" a="1"/>
  <c r="AE13" i="1"/>
  <c r="AE14" i="1" a="1"/>
  <c r="AE14" i="1"/>
  <c r="AE15" i="1" a="1"/>
  <c r="AE15" i="1"/>
  <c r="AE16" i="1" a="1"/>
  <c r="AE16" i="1"/>
  <c r="AE17" i="1" a="1"/>
  <c r="AE17" i="1"/>
  <c r="AE18" i="1" a="1"/>
  <c r="AE18" i="1"/>
  <c r="AE19" i="1" a="1"/>
  <c r="AE19" i="1"/>
  <c r="AD11" i="1" a="1"/>
  <c r="AD11" i="1"/>
  <c r="AD12" i="1" a="1"/>
  <c r="AD12" i="1"/>
  <c r="AD13" i="1" a="1"/>
  <c r="AD13" i="1"/>
  <c r="AD14" i="1" a="1"/>
  <c r="AD14" i="1"/>
  <c r="AD15" i="1" a="1"/>
  <c r="AD15" i="1"/>
  <c r="AD16" i="1" a="1"/>
  <c r="AD16" i="1"/>
  <c r="AD17" i="1" a="1"/>
  <c r="AD17" i="1"/>
  <c r="AD18" i="1" a="1"/>
  <c r="AD18" i="1"/>
  <c r="AD19" i="1" a="1"/>
  <c r="AD19" i="1"/>
  <c r="D27" i="1"/>
  <c r="D25" i="1"/>
  <c r="J23" i="1"/>
  <c r="I25" i="1"/>
  <c r="I23" i="1"/>
  <c r="C25" i="1"/>
  <c r="C26" i="1"/>
  <c r="C27" i="1"/>
  <c r="C24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<sst xmlns="http://schemas.openxmlformats.org/spreadsheetml/2006/main" count="89" uniqueCount="35">
  <si>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</si>
  <si>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</si>
  <si>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</si>
  <si>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</si>
  <si>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</si>
  <si>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</si>
  <si>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</si>
  <si>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</si>
  <si>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</si>
  <si>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</si>
  <si>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</si>
  <si>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</si>
  <si>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</si>
  <si>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</si>
  <si>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</si>
  <si>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</si>
  <si>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</si>
  <si>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</si>
  <si>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</si>
  <si>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</si>
  <si>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</si>
  <si>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</si>
  <si>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</si>
  <si>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</si>
  <si>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</si>
  <si>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</si>
  <si>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</si>
  <si>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</si>
  <si>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</si>
  <si>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</si>
  <si>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</si>
  <si>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***Note: If using front and back skills with the same FIG code, use a period in front of front skills. For example, for front pike use .4-&lt;</t>
  </si>
  <si>
    <t>Choose:</t>
  </si>
  <si>
    <t>3rd Voluntary / 3ème libre
(Senior Only)</t>
  </si>
  <si>
    <t>2 DD Skills for L7, 4 DD Skills for 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</si>
</sst>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11" fillId="0" borderId="22" xfId="0" applyFont="1" applyFill="1" applyBorder="1" applyAlignment="1" applyProtection="1"/>
    <xf numFmtId="0" fontId="13" fillId="0" borderId="0" xfId="0" applyFont="1" applyFill="1" applyBorder="1" applyAlignment="1" applyProtection="1">
      <alignment horizontal="center"/>
    </xf>
    <xf numFmtId="0" fontId="11" fillId="0" borderId="24" xfId="0" applyFont="1" applyFill="1" applyBorder="1" applyAlignment="1" applyProtection="1"/>
    <xf numFmtId="0" fontId="11" fillId="0" borderId="21" xfId="0" applyFont="1" applyFill="1" applyBorder="1" applyAlignment="1" applyProtection="1"/>
    <xf numFmtId="0" fontId="11" fillId="0" borderId="0" xfId="0" applyFont="1" applyFill="1" applyBorder="1" applyAlignment="1" applyProtection="1"/>
    <xf numFmtId="0" fontId="11" fillId="0" borderId="25" xfId="0" applyFont="1" applyFill="1" applyBorder="1" applyAlignment="1" applyProtection="1"/>
    <xf numFmtId="0" fontId="11" fillId="0" borderId="26" xfId="0" applyFont="1" applyFill="1" applyBorder="1" applyAlignment="1" applyProtection="1"/>
    <xf numFmtId="0" fontId="11" fillId="0" borderId="0" xfId="0" applyFont="1" applyFill="1" applyBorder="1"/>
    <xf numFmtId="0" fontId="0" fillId="0" borderId="21" xfId="0" applyFill="1" applyBorder="1" applyAlignment="1" applyProtection="1"/>
    <xf numFmtId="0" fontId="0" fillId="0" borderId="0" xfId="0" applyFont="1" applyFill="1" applyBorder="1" applyAlignment="1" applyProtection="1"/>
    <xf numFmtId="0" fontId="0" fillId="0" borderId="21" xfId="0" applyBorder="1"/>
    <xf numFmtId="0" fontId="0" fillId="0" borderId="25" xfId="0" applyBorder="1"/>
    <xf numFmtId="164" fontId="1" fillId="0" borderId="43" xfId="0" applyNumberFormat="1" applyFont="1" applyBorder="1" applyAlignment="1" applyProtection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5" fillId="0" borderId="2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1" fillId="3" borderId="47" xfId="0" applyFont="1" applyFill="1" applyBorder="1" applyAlignment="1" applyProtection="1">
      <alignment horizontal="center"/>
    </xf>
    <xf numFmtId="0" fontId="1" fillId="3" borderId="48" xfId="0" applyFont="1" applyFill="1" applyBorder="1" applyAlignment="1" applyProtection="1">
      <alignment horizontal="center"/>
    </xf>
    <xf numFmtId="0" fontId="1" fillId="3" borderId="49" xfId="0" applyFont="1" applyFill="1" applyBorder="1" applyAlignment="1" applyProtection="1">
      <alignment horizontal="center"/>
    </xf>
    <xf numFmtId="0" fontId="1" fillId="0" borderId="18" xfId="0" applyFont="1" applyBorder="1" applyAlignment="1" applyProtection="1">
      <alignment horizontal="right"/>
    </xf>
    <xf numFmtId="0" fontId="1" fillId="0" borderId="38" xfId="0" applyFont="1" applyBorder="1" applyAlignment="1" applyProtection="1">
      <alignment horizontal="right"/>
    </xf>
    <xf numFmtId="0" fontId="1" fillId="0" borderId="42" xfId="0" applyFont="1" applyBorder="1" applyAlignment="1" applyProtection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horizontal="center" vertical="center"/>
    </xf>
  </cellXfs>
  <cellStyles count="1">
    <cellStyle name="Normal" xfId="0" builtinId="0"/>
  </cellStyles>
  <dxfs count="23">
    <dxf>
      <font>
        <color theme="0" tint="-0.499984740745262"/>
      </font>
      <fill>
        <patternFill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bgColor theme="3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50800</xdr:colOff>
          <xdr:row>1</xdr:row>
          <xdr:rowOff>38100</xdr:rowOff>
        </xdr:from>
        <xdr:to>
          <xdr:col>29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8"/>
  <sheetViews>
    <sheetView tabSelected="1" zoomScaleNormal="100" workbookViewId="0">
      <selection activeCell="B3" sqref="B3:F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8"/>
  </cols>
  <sheetData>
    <row r="1" spans="1:38" ht="22" thickBot="1" x14ac:dyDescent="0.3">
      <c r="A1" s="71" t="s">
        <v>19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J1" s="48"/>
      <c r="AK1" s="48"/>
      <c r="AL1" s="48"/>
    </row>
    <row r="2" spans="1:38" ht="19" customHeight="1" x14ac:dyDescent="0.2">
      <c r="A2" s="14"/>
      <c r="B2" s="15" t="s">
        <v>21</v>
      </c>
      <c r="C2" s="15"/>
      <c r="D2" s="15"/>
      <c r="E2" s="15"/>
      <c r="F2" s="15"/>
      <c r="G2" s="65"/>
      <c r="H2" s="65"/>
      <c r="I2" s="15" t="s">
        <v>22</v>
      </c>
      <c r="J2" s="15"/>
      <c r="K2" s="15"/>
      <c r="L2" s="15"/>
      <c r="M2" s="65"/>
      <c r="N2" s="65"/>
      <c r="O2" s="65"/>
      <c r="P2" s="65"/>
      <c r="Q2" s="15" t="s">
        <v>28</v>
      </c>
      <c r="R2" s="15"/>
      <c r="S2" s="65"/>
      <c r="T2" s="65"/>
      <c r="U2" s="63"/>
      <c r="V2" s="15" t="s">
        <v>23</v>
      </c>
      <c r="W2" s="15"/>
      <c r="X2" s="58"/>
      <c r="Y2" s="58"/>
      <c r="Z2" s="15" t="s">
        <v>30</v>
      </c>
      <c r="AA2" s="58"/>
      <c r="AB2" s="15" t="s">
        <v>24</v>
      </c>
      <c r="AC2" s="55"/>
      <c r="AJ2" s="48"/>
      <c r="AK2" s="48"/>
      <c r="AL2" s="48"/>
    </row>
    <row r="3" spans="1:38" ht="19" customHeight="1" x14ac:dyDescent="0.2">
      <c r="A3" s="16"/>
      <c r="B3" s="132"/>
      <c r="C3" s="132"/>
      <c r="D3" s="132"/>
      <c r="E3" s="132"/>
      <c r="F3" s="132"/>
      <c r="G3" s="32"/>
      <c r="H3" s="32"/>
      <c r="I3" s="97"/>
      <c r="J3" s="97"/>
      <c r="K3" s="97"/>
      <c r="L3" s="97"/>
      <c r="M3" s="32"/>
      <c r="N3" s="32"/>
      <c r="O3" s="32"/>
      <c r="P3" s="32"/>
      <c r="Q3" s="97" t="s">
        <v>32</v>
      </c>
      <c r="R3" s="97"/>
      <c r="S3" s="97"/>
      <c r="T3" s="97"/>
      <c r="U3" s="64"/>
      <c r="V3" s="97" t="s">
        <v>32</v>
      </c>
      <c r="W3" s="97"/>
      <c r="X3" s="97"/>
      <c r="Y3" s="59"/>
      <c r="Z3" s="46" t="str">
        <f>MINDD(Q3,V4)</f>
        <v/>
      </c>
      <c r="AA3" s="56"/>
      <c r="AB3" s="46" t="str">
        <f>MAXDD(Q3,V4)</f>
        <v/>
      </c>
      <c r="AC3" s="57"/>
      <c r="AJ3" s="48"/>
      <c r="AK3" s="48"/>
      <c r="AL3" s="48"/>
    </row>
    <row r="4" spans="1:38" ht="18.75" customHeight="1" thickBot="1" x14ac:dyDescent="0.25">
      <c r="A4" s="17"/>
      <c r="B4" s="18"/>
      <c r="C4" s="18"/>
      <c r="D4" s="18"/>
      <c r="E4" s="18"/>
      <c r="F4" s="18"/>
      <c r="G4" s="38"/>
      <c r="H4" s="38"/>
      <c r="I4" s="18"/>
      <c r="J4" s="18"/>
      <c r="K4" s="18"/>
      <c r="L4" s="18"/>
      <c r="M4" s="18"/>
      <c r="N4" s="18"/>
      <c r="O4" s="66"/>
      <c r="P4" s="66"/>
      <c r="Q4" s="18"/>
      <c r="R4" s="18"/>
      <c r="S4" s="18"/>
      <c r="T4" s="18"/>
      <c r="U4" s="18"/>
      <c r="V4" s="38" t="str">
        <f>LEFT(V3,2)</f>
        <v>Ch</v>
      </c>
      <c r="W4" s="18"/>
      <c r="X4" s="60"/>
      <c r="Y4" s="60"/>
      <c r="Z4" s="60"/>
      <c r="AA4" s="60"/>
      <c r="AB4" s="60"/>
      <c r="AC4" s="61"/>
      <c r="AJ4" s="48"/>
      <c r="AK4" s="48"/>
      <c r="AL4" s="48"/>
    </row>
    <row r="5" spans="1:38" ht="8.25" customHeight="1" thickBot="1" x14ac:dyDescent="0.25">
      <c r="V5" s="48"/>
      <c r="W5" s="62"/>
      <c r="X5" s="62"/>
      <c r="Y5" s="62"/>
      <c r="Z5" s="62"/>
      <c r="AA5" s="62"/>
      <c r="AB5" s="62"/>
      <c r="AC5" s="62"/>
      <c r="AJ5" s="48"/>
      <c r="AK5" s="48"/>
      <c r="AL5" s="48"/>
    </row>
    <row r="6" spans="1:38" s="2" customFormat="1" ht="22" customHeight="1" x14ac:dyDescent="0.25">
      <c r="A6" s="104" t="s">
        <v>20</v>
      </c>
      <c r="B6" s="105"/>
      <c r="C6" s="105"/>
      <c r="D6" s="105"/>
      <c r="E6" s="105"/>
      <c r="F6" s="105"/>
      <c r="G6" s="106"/>
      <c r="I6" s="88" t="s">
        <v>18</v>
      </c>
      <c r="J6" s="89"/>
      <c r="K6" s="89"/>
      <c r="L6" s="89"/>
      <c r="M6" s="90"/>
      <c r="N6" s="3"/>
      <c r="O6" s="94" t="s">
        <v>33</v>
      </c>
      <c r="P6" s="89"/>
      <c r="Q6" s="89"/>
      <c r="R6" s="89"/>
      <c r="S6" s="95"/>
      <c r="T6" s="95"/>
      <c r="U6" s="90"/>
      <c r="V6" s="49"/>
      <c r="W6" s="88" t="s">
        <v>14</v>
      </c>
      <c r="X6" s="89"/>
      <c r="Y6" s="89"/>
      <c r="Z6" s="89"/>
      <c r="AA6" s="95"/>
      <c r="AB6" s="95"/>
      <c r="AC6" s="90"/>
      <c r="AD6" s="49"/>
      <c r="AE6" s="48"/>
      <c r="AF6" s="48"/>
      <c r="AG6" s="48"/>
      <c r="AH6" s="48"/>
      <c r="AI6" s="49"/>
      <c r="AJ6" s="49"/>
      <c r="AK6" s="49"/>
      <c r="AL6" s="49"/>
    </row>
    <row r="7" spans="1:38" ht="17" customHeight="1" x14ac:dyDescent="0.25">
      <c r="A7" s="107" t="s">
        <v>34</v>
      </c>
      <c r="B7" s="108"/>
      <c r="C7" s="108"/>
      <c r="D7" s="108"/>
      <c r="E7" s="108"/>
      <c r="F7" s="108"/>
      <c r="G7" s="109"/>
      <c r="I7" s="91"/>
      <c r="J7" s="92"/>
      <c r="K7" s="92"/>
      <c r="L7" s="92"/>
      <c r="M7" s="93"/>
      <c r="N7" s="4"/>
      <c r="O7" s="91"/>
      <c r="P7" s="92"/>
      <c r="Q7" s="92"/>
      <c r="R7" s="92"/>
      <c r="S7" s="96"/>
      <c r="T7" s="96"/>
      <c r="U7" s="93"/>
      <c r="V7" s="48"/>
      <c r="W7" s="91"/>
      <c r="X7" s="92"/>
      <c r="Y7" s="92"/>
      <c r="Z7" s="92"/>
      <c r="AA7" s="96"/>
      <c r="AB7" s="96"/>
      <c r="AC7" s="93"/>
      <c r="AJ7" s="48"/>
      <c r="AK7" s="48"/>
      <c r="AL7" s="48"/>
    </row>
    <row r="8" spans="1:38" s="7" customFormat="1" ht="20.25" customHeight="1" x14ac:dyDescent="0.2">
      <c r="A8" s="76" t="s">
        <v>15</v>
      </c>
      <c r="B8" s="78"/>
      <c r="C8" s="78"/>
      <c r="D8" s="77"/>
      <c r="E8" s="77"/>
      <c r="F8" s="78" t="s">
        <v>16</v>
      </c>
      <c r="G8" s="79"/>
      <c r="I8" s="76" t="s">
        <v>15</v>
      </c>
      <c r="J8" s="77"/>
      <c r="K8" s="77"/>
      <c r="L8" s="78" t="s">
        <v>16</v>
      </c>
      <c r="M8" s="79"/>
      <c r="O8" s="76" t="s">
        <v>15</v>
      </c>
      <c r="P8" s="77"/>
      <c r="Q8" s="77"/>
      <c r="R8" s="78" t="s">
        <v>16</v>
      </c>
      <c r="S8" s="133"/>
      <c r="T8" s="133"/>
      <c r="U8" s="79"/>
      <c r="V8" s="50"/>
      <c r="W8" s="76" t="s">
        <v>15</v>
      </c>
      <c r="X8" s="77"/>
      <c r="Y8" s="77"/>
      <c r="Z8" s="78" t="s">
        <v>16</v>
      </c>
      <c r="AA8" s="133"/>
      <c r="AB8" s="133"/>
      <c r="AC8" s="79"/>
      <c r="AD8" s="50"/>
      <c r="AE8" s="48"/>
      <c r="AF8" s="48"/>
      <c r="AG8" s="48"/>
      <c r="AH8" s="48"/>
      <c r="AI8" s="50"/>
      <c r="AJ8" s="50"/>
      <c r="AK8" s="50"/>
      <c r="AL8" s="50"/>
    </row>
    <row r="9" spans="1:38" s="2" customFormat="1" ht="16" thickBot="1" x14ac:dyDescent="0.25">
      <c r="A9" s="22" t="s">
        <v>26</v>
      </c>
      <c r="B9" s="23" t="s">
        <v>27</v>
      </c>
      <c r="C9" s="98" t="s">
        <v>13</v>
      </c>
      <c r="D9" s="100"/>
      <c r="E9" s="10" t="s">
        <v>11</v>
      </c>
      <c r="F9" s="9"/>
      <c r="G9" s="8" t="s">
        <v>11</v>
      </c>
      <c r="I9" s="118" t="s">
        <v>13</v>
      </c>
      <c r="J9" s="119"/>
      <c r="K9" s="10" t="s">
        <v>11</v>
      </c>
      <c r="L9" s="9"/>
      <c r="M9" s="8" t="s">
        <v>11</v>
      </c>
      <c r="O9" s="118" t="s">
        <v>13</v>
      </c>
      <c r="P9" s="119"/>
      <c r="Q9" s="10" t="s">
        <v>11</v>
      </c>
      <c r="R9" s="98"/>
      <c r="S9" s="99"/>
      <c r="T9" s="100"/>
      <c r="U9" s="8" t="s">
        <v>11</v>
      </c>
      <c r="V9" s="49"/>
      <c r="W9" s="118" t="s">
        <v>13</v>
      </c>
      <c r="X9" s="119"/>
      <c r="Y9" s="10" t="s">
        <v>11</v>
      </c>
      <c r="Z9" s="98"/>
      <c r="AA9" s="99"/>
      <c r="AB9" s="100"/>
      <c r="AC9" s="8" t="s">
        <v>11</v>
      </c>
      <c r="AD9" s="49"/>
      <c r="AE9" s="48"/>
      <c r="AF9" s="54"/>
      <c r="AG9" s="48"/>
      <c r="AH9" s="48"/>
      <c r="AI9" s="49"/>
      <c r="AJ9" s="49"/>
      <c r="AK9" s="49"/>
      <c r="AL9" s="49"/>
    </row>
    <row r="10" spans="1:38" ht="20.25" customHeight="1" thickTop="1" x14ac:dyDescent="0.25">
      <c r="A10" s="26"/>
      <c r="B10" s="27"/>
      <c r="C10" s="19" t="s">
        <v>0</v>
      </c>
      <c r="D10" s="40"/>
      <c r="E10" s="24" t="str" cm="1">
        <f t="array" ref="E10">IF(AND(D10&lt;&gt;"",B10&lt;&gt;"",OR($V$4="L7",$V$4="Se")),DD(D10),"")</f>
        <v/>
      </c>
      <c r="F10" s="101"/>
      <c r="G10" s="5"/>
      <c r="I10" s="11" t="s">
        <v>0</v>
      </c>
      <c r="J10" s="40"/>
      <c r="K10" s="24" t="str" cm="1">
        <f t="array" ref="K10">IF(OR(J10="",COUNTIFS(D$10:D$19,J10,E$10:E$19,"&gt;0")),"",DD(J10))</f>
        <v/>
      </c>
      <c r="L10" s="101"/>
      <c r="M10" s="5"/>
      <c r="O10" s="11" t="s">
        <v>0</v>
      </c>
      <c r="P10" s="40"/>
      <c r="Q10" s="24" t="str" cm="1">
        <f t="array" ref="Q10">IF(OR(P10="",COUNTIFS(D$10:D$19,P10,E$10:E$19,"&gt;0")),"",DD(P10))</f>
        <v/>
      </c>
      <c r="R10" s="120"/>
      <c r="S10" s="121"/>
      <c r="T10" s="122"/>
      <c r="U10" s="5"/>
      <c r="V10" s="48"/>
      <c r="W10" s="11" t="s">
        <v>0</v>
      </c>
      <c r="X10" s="40"/>
      <c r="Y10" s="24" t="str" cm="1">
        <f t="array" ref="Y10">IF(X10="","",DD(X10))</f>
        <v/>
      </c>
      <c r="Z10" s="120"/>
      <c r="AA10" s="121"/>
      <c r="AB10" s="122"/>
      <c r="AC10" s="5"/>
      <c r="AD10" s="53" t="str" cm="1">
        <f t="array" ref="AD10">NUMFLIPS(D10)</f>
        <v/>
      </c>
      <c r="AE10" s="47" t="str" cm="1">
        <f t="array" ref="AE10">NUMFLIPS(J10)</f>
        <v/>
      </c>
      <c r="AF10" s="47" t="str" cm="1">
        <f t="array" ref="AF10">NUMFLIPS(P10)</f>
        <v/>
      </c>
      <c r="AJ10" s="48"/>
      <c r="AK10" s="48"/>
      <c r="AL10" s="48"/>
    </row>
    <row r="11" spans="1:38" ht="20.25" customHeight="1" x14ac:dyDescent="0.25">
      <c r="A11" s="28"/>
      <c r="B11" s="29"/>
      <c r="C11" s="20" t="s">
        <v>1</v>
      </c>
      <c r="D11" s="41"/>
      <c r="E11" s="24" t="str" cm="1">
        <f t="array" ref="E11">IF(AND(B11&lt;&gt;"",D11&lt;&gt;"",COUNT(E$10:E10)&lt;IF($V$4="L7",2,IF($V$4="Se",4,0))),IF(COUNTIFS(D$10:D10,D11,E$10:E10,"&gt;0"),"",DD(D11)),"")</f>
        <v/>
      </c>
      <c r="F11" s="102"/>
      <c r="G11" s="1"/>
      <c r="I11" s="12" t="s">
        <v>1</v>
      </c>
      <c r="J11" s="41"/>
      <c r="K11" s="24" t="str" cm="1">
        <f t="array" ref="K11">IF(OR(J11="",COUNTIFS(D$10:D$19,J11,E$10:E$19,"&gt;0"),COUNTIFS(J$10:J10,J11)),"",DD(J11))</f>
        <v/>
      </c>
      <c r="L11" s="102"/>
      <c r="M11" s="1"/>
      <c r="O11" s="12" t="s">
        <v>1</v>
      </c>
      <c r="P11" s="41"/>
      <c r="Q11" s="24" t="str" cm="1">
        <f t="array" ref="Q11">IF(OR(P11="",COUNTIFS(D$10:D$19,P11,E$10:E$19,"&gt;0"),COUNTIFS(P$10:P10,P11)),"",DD(P11))</f>
        <v/>
      </c>
      <c r="R11" s="123"/>
      <c r="S11" s="124"/>
      <c r="T11" s="125"/>
      <c r="U11" s="1"/>
      <c r="V11" s="48"/>
      <c r="W11" s="12" t="s">
        <v>1</v>
      </c>
      <c r="X11" s="41"/>
      <c r="Y11" s="24" t="str" cm="1">
        <f t="array" ref="Y11">IF(OR(X11="",COUNTIFS(X$10:X10,X11)),"",DD(X11))</f>
        <v/>
      </c>
      <c r="Z11" s="123"/>
      <c r="AA11" s="124"/>
      <c r="AB11" s="125"/>
      <c r="AC11" s="1"/>
      <c r="AD11" s="53" t="str" cm="1">
        <f t="array" ref="AD11">NUMFLIPS(D11)</f>
        <v/>
      </c>
      <c r="AE11" s="47" t="str" cm="1">
        <f t="array" ref="AE11">NUMFLIPS(J11)</f>
        <v/>
      </c>
      <c r="AF11" s="47" t="str" cm="1">
        <f t="array" ref="AF11">NUMFLIPS(P11)</f>
        <v/>
      </c>
      <c r="AJ11" s="48"/>
      <c r="AK11" s="48"/>
      <c r="AL11" s="48"/>
    </row>
    <row r="12" spans="1:38" ht="20.25" customHeight="1" x14ac:dyDescent="0.25">
      <c r="A12" s="28"/>
      <c r="B12" s="29"/>
      <c r="C12" s="20" t="s">
        <v>2</v>
      </c>
      <c r="D12" s="41"/>
      <c r="E12" s="24" t="str" cm="1">
        <f t="array" ref="E12">IF(AND(B12&lt;&gt;"",D12&lt;&gt;"",COUNT(E$10:E11)&lt;IF($V$4="L7",2,IF($V$4="Se",4,0))),IF(COUNTIFS(D$10:D11,D12,E$10:E11,"&gt;0"),"",DD(D12)),"")</f>
        <v/>
      </c>
      <c r="F12" s="102"/>
      <c r="G12" s="1"/>
      <c r="I12" s="12" t="s">
        <v>2</v>
      </c>
      <c r="J12" s="41"/>
      <c r="K12" s="24" t="str" cm="1">
        <f t="array" ref="K12">IF(OR(J12="",COUNTIFS(D$10:D$19,J12,E$10:E$19,"&gt;0"),COUNTIFS(J$10:J11,J12)),"",DD(J12))</f>
        <v/>
      </c>
      <c r="L12" s="102"/>
      <c r="M12" s="1"/>
      <c r="O12" s="12" t="s">
        <v>2</v>
      </c>
      <c r="P12" s="41"/>
      <c r="Q12" s="24" t="str" cm="1">
        <f t="array" ref="Q12">IF(OR(P12="",COUNTIFS(D$10:D$19,P12,E$10:E$19,"&gt;0"),COUNTIFS(P$10:P11,P12)),"",DD(P12))</f>
        <v/>
      </c>
      <c r="R12" s="123"/>
      <c r="S12" s="124"/>
      <c r="T12" s="125"/>
      <c r="U12" s="1"/>
      <c r="V12" s="48"/>
      <c r="W12" s="12" t="s">
        <v>2</v>
      </c>
      <c r="X12" s="41"/>
      <c r="Y12" s="24" t="str" cm="1">
        <f t="array" ref="Y12">IF(OR(X12="",COUNTIFS(X$10:X11,X12)),"",DD(X12))</f>
        <v/>
      </c>
      <c r="Z12" s="123"/>
      <c r="AA12" s="124"/>
      <c r="AB12" s="125"/>
      <c r="AC12" s="1"/>
      <c r="AD12" s="53" t="str" cm="1">
        <f t="array" ref="AD12">NUMFLIPS(D12)</f>
        <v/>
      </c>
      <c r="AE12" s="47" t="str" cm="1">
        <f t="array" ref="AE12">NUMFLIPS(J12)</f>
        <v/>
      </c>
      <c r="AF12" s="47" t="str" cm="1">
        <f t="array" ref="AF12">NUMFLIPS(P12)</f>
        <v/>
      </c>
      <c r="AJ12" s="48"/>
      <c r="AK12" s="48"/>
      <c r="AL12" s="48"/>
    </row>
    <row r="13" spans="1:38" ht="20.25" customHeight="1" x14ac:dyDescent="0.25">
      <c r="A13" s="28"/>
      <c r="B13" s="29"/>
      <c r="C13" s="20" t="s">
        <v>3</v>
      </c>
      <c r="D13" s="41"/>
      <c r="E13" s="24" t="str" cm="1">
        <f t="array" ref="E13">IF(AND(B13&lt;&gt;"",D13&lt;&gt;"",COUNT(E$10:E12)&lt;IF($V$4="L7",2,IF($V$4="Se",4,0))),IF(COUNTIFS(D$10:D12,D13,E$10:E12,"&gt;0"),"",DD(D13)),"")</f>
        <v/>
      </c>
      <c r="F13" s="102"/>
      <c r="G13" s="1"/>
      <c r="I13" s="12" t="s">
        <v>3</v>
      </c>
      <c r="J13" s="41"/>
      <c r="K13" s="24" t="str" cm="1">
        <f t="array" ref="K13">IF(OR(J13="",COUNTIFS(D$10:D$19,J13,E$10:E$19,"&gt;0"),COUNTIFS(J$10:J12,J13)),"",DD(J13))</f>
        <v/>
      </c>
      <c r="L13" s="102"/>
      <c r="M13" s="1"/>
      <c r="O13" s="12" t="s">
        <v>3</v>
      </c>
      <c r="P13" s="41"/>
      <c r="Q13" s="24" t="str" cm="1">
        <f t="array" ref="Q13">IF(OR(P13="",COUNTIFS(D$10:D$19,P13,E$10:E$19,"&gt;0"),COUNTIFS(P$10:P12,P13)),"",DD(P13))</f>
        <v/>
      </c>
      <c r="R13" s="123"/>
      <c r="S13" s="124"/>
      <c r="T13" s="125"/>
      <c r="U13" s="1"/>
      <c r="V13" s="48"/>
      <c r="W13" s="12" t="s">
        <v>3</v>
      </c>
      <c r="X13" s="41"/>
      <c r="Y13" s="24" t="str" cm="1">
        <f t="array" ref="Y13">IF(OR(X13="",COUNTIFS(X$10:X12,X13)),"",DD(X13))</f>
        <v/>
      </c>
      <c r="Z13" s="123"/>
      <c r="AA13" s="124"/>
      <c r="AB13" s="125"/>
      <c r="AC13" s="1"/>
      <c r="AD13" s="53" t="str" cm="1">
        <f t="array" ref="AD13">NUMFLIPS(D13)</f>
        <v/>
      </c>
      <c r="AE13" s="47" t="str" cm="1">
        <f t="array" ref="AE13">NUMFLIPS(J13)</f>
        <v/>
      </c>
      <c r="AF13" s="47" t="str" cm="1">
        <f t="array" ref="AF13">NUMFLIPS(P13)</f>
        <v/>
      </c>
      <c r="AJ13" s="48"/>
      <c r="AK13" s="48"/>
      <c r="AL13" s="48"/>
    </row>
    <row r="14" spans="1:38" ht="20.25" customHeight="1" x14ac:dyDescent="0.25">
      <c r="A14" s="28"/>
      <c r="B14" s="29"/>
      <c r="C14" s="20" t="s">
        <v>4</v>
      </c>
      <c r="D14" s="41"/>
      <c r="E14" s="24" t="str" cm="1">
        <f t="array" ref="E14">IF(AND(B14&lt;&gt;"",D14&lt;&gt;"",COUNT(E$10:E13)&lt;IF($V$4="L7",2,IF($V$4="Se",4,0))),IF(COUNTIFS(D$10:D13,D14,E$10:E13,"&gt;0"),"",DD(D14)),"")</f>
        <v/>
      </c>
      <c r="F14" s="102"/>
      <c r="G14" s="1"/>
      <c r="I14" s="12" t="s">
        <v>4</v>
      </c>
      <c r="J14" s="41"/>
      <c r="K14" s="24" t="str" cm="1">
        <f t="array" ref="K14">IF(OR(J14="",COUNTIFS(D$10:D$19,J14,E$10:E$19,"&gt;0"),COUNTIFS(J$10:J13,J14)),"",DD(J14))</f>
        <v/>
      </c>
      <c r="L14" s="102"/>
      <c r="M14" s="1"/>
      <c r="O14" s="12" t="s">
        <v>4</v>
      </c>
      <c r="P14" s="41"/>
      <c r="Q14" s="24" t="str" cm="1">
        <f t="array" ref="Q14">IF(OR(P14="",COUNTIFS(D$10:D$19,P14,E$10:E$19,"&gt;0"),COUNTIFS(P$10:P13,P14)),"",DD(P14))</f>
        <v/>
      </c>
      <c r="R14" s="123"/>
      <c r="S14" s="124"/>
      <c r="T14" s="125"/>
      <c r="U14" s="1"/>
      <c r="V14" s="48"/>
      <c r="W14" s="12" t="s">
        <v>4</v>
      </c>
      <c r="X14" s="41"/>
      <c r="Y14" s="24" t="str" cm="1">
        <f t="array" ref="Y14">IF(OR(X14="",COUNTIFS(X$10:X13,X14)),"",DD(X14))</f>
        <v/>
      </c>
      <c r="Z14" s="123"/>
      <c r="AA14" s="124"/>
      <c r="AB14" s="125"/>
      <c r="AC14" s="1"/>
      <c r="AD14" s="53" t="str" cm="1">
        <f t="array" ref="AD14">NUMFLIPS(D14)</f>
        <v/>
      </c>
      <c r="AE14" s="47" t="str" cm="1">
        <f t="array" ref="AE14">NUMFLIPS(J14)</f>
        <v/>
      </c>
      <c r="AF14" s="47" t="str" cm="1">
        <f t="array" ref="AF14">NUMFLIPS(P14)</f>
        <v/>
      </c>
      <c r="AJ14" s="48"/>
      <c r="AK14" s="48"/>
      <c r="AL14" s="48"/>
    </row>
    <row r="15" spans="1:38" ht="20.25" customHeight="1" x14ac:dyDescent="0.25">
      <c r="A15" s="28"/>
      <c r="B15" s="29"/>
      <c r="C15" s="20" t="s">
        <v>5</v>
      </c>
      <c r="D15" s="41"/>
      <c r="E15" s="24" t="str" cm="1">
        <f t="array" ref="E15">IF(AND(B15&lt;&gt;"",D15&lt;&gt;"",COUNT(E$10:E14)&lt;IF($V$4="L7",2,IF($V$4="Se",4,0))),IF(COUNTIFS(D$10:D14,D15,E$10:E14,"&gt;0"),"",DD(D15)),"")</f>
        <v/>
      </c>
      <c r="F15" s="102"/>
      <c r="G15" s="1"/>
      <c r="I15" s="12" t="s">
        <v>5</v>
      </c>
      <c r="J15" s="41"/>
      <c r="K15" s="24" t="str" cm="1">
        <f t="array" ref="K15">IF(OR(J15="",COUNTIFS(D$10:D$19,J15,E$10:E$19,"&gt;0"),COUNTIFS(J$10:J14,J15)),"",DD(J15))</f>
        <v/>
      </c>
      <c r="L15" s="102"/>
      <c r="M15" s="1"/>
      <c r="O15" s="12" t="s">
        <v>5</v>
      </c>
      <c r="P15" s="41"/>
      <c r="Q15" s="24" t="str" cm="1">
        <f t="array" ref="Q15">IF(OR(P15="",COUNTIFS(D$10:D$19,P15,E$10:E$19,"&gt;0"),COUNTIFS(P$10:P14,P15)),"",DD(P15))</f>
        <v/>
      </c>
      <c r="R15" s="123"/>
      <c r="S15" s="124"/>
      <c r="T15" s="125"/>
      <c r="U15" s="1"/>
      <c r="V15" s="48"/>
      <c r="W15" s="12" t="s">
        <v>5</v>
      </c>
      <c r="X15" s="41"/>
      <c r="Y15" s="24" t="str" cm="1">
        <f t="array" ref="Y15">IF(OR(X15="",COUNTIFS(X$10:X14,X15)),"",DD(X15))</f>
        <v/>
      </c>
      <c r="Z15" s="123"/>
      <c r="AA15" s="124"/>
      <c r="AB15" s="125"/>
      <c r="AC15" s="1"/>
      <c r="AD15" s="53" t="str" cm="1">
        <f t="array" ref="AD15">NUMFLIPS(D15)</f>
        <v/>
      </c>
      <c r="AE15" s="47" t="str" cm="1">
        <f t="array" ref="AE15">NUMFLIPS(J15)</f>
        <v/>
      </c>
      <c r="AF15" s="47" t="str" cm="1">
        <f t="array" ref="AF15">NUMFLIPS(P15)</f>
        <v/>
      </c>
      <c r="AJ15" s="48"/>
      <c r="AK15" s="48"/>
      <c r="AL15" s="48"/>
    </row>
    <row r="16" spans="1:38" ht="20.25" customHeight="1" x14ac:dyDescent="0.25">
      <c r="A16" s="28"/>
      <c r="B16" s="29"/>
      <c r="C16" s="20" t="s">
        <v>6</v>
      </c>
      <c r="D16" s="41"/>
      <c r="E16" s="24" t="str" cm="1">
        <f t="array" ref="E16">IF(AND(B16&lt;&gt;"",D16&lt;&gt;"",COUNT(E$10:E15)&lt;IF($V$4="L7",2,IF($V$4="Se",4,0))),IF(COUNTIFS(D$10:D15,D16,E$10:E15,"&gt;0"),"",DD(D16)),"")</f>
        <v/>
      </c>
      <c r="F16" s="102"/>
      <c r="G16" s="1"/>
      <c r="I16" s="12" t="s">
        <v>6</v>
      </c>
      <c r="J16" s="41"/>
      <c r="K16" s="24" t="str" cm="1">
        <f t="array" ref="K16">IF(OR(J16="",COUNTIFS(D$10:D$19,J16,E$10:E$19,"&gt;0"),COUNTIFS(J$10:J15,J16)),"",DD(J16))</f>
        <v/>
      </c>
      <c r="L16" s="102"/>
      <c r="M16" s="1"/>
      <c r="O16" s="12" t="s">
        <v>6</v>
      </c>
      <c r="P16" s="41"/>
      <c r="Q16" s="24" t="str" cm="1">
        <f t="array" ref="Q16">IF(OR(P16="",COUNTIFS(D$10:D$19,P16,E$10:E$19,"&gt;0"),COUNTIFS(P$10:P15,P16)),"",DD(P16))</f>
        <v/>
      </c>
      <c r="R16" s="123"/>
      <c r="S16" s="124"/>
      <c r="T16" s="125"/>
      <c r="U16" s="1"/>
      <c r="V16" s="48"/>
      <c r="W16" s="12" t="s">
        <v>6</v>
      </c>
      <c r="X16" s="41"/>
      <c r="Y16" s="24" t="str" cm="1">
        <f t="array" ref="Y16">IF(OR(X16="",COUNTIFS(X$10:X15,X16)),"",DD(X16))</f>
        <v/>
      </c>
      <c r="Z16" s="123"/>
      <c r="AA16" s="124"/>
      <c r="AB16" s="125"/>
      <c r="AC16" s="1"/>
      <c r="AD16" s="53" t="str" cm="1">
        <f t="array" ref="AD16">NUMFLIPS(D16)</f>
        <v/>
      </c>
      <c r="AE16" s="47" t="str" cm="1">
        <f t="array" ref="AE16">NUMFLIPS(J16)</f>
        <v/>
      </c>
      <c r="AF16" s="47" t="str" cm="1">
        <f t="array" ref="AF16">NUMFLIPS(P16)</f>
        <v/>
      </c>
      <c r="AJ16" s="48"/>
      <c r="AK16" s="48"/>
      <c r="AL16" s="48"/>
    </row>
    <row r="17" spans="1:38" ht="20.25" customHeight="1" x14ac:dyDescent="0.25">
      <c r="A17" s="28"/>
      <c r="B17" s="29"/>
      <c r="C17" s="20" t="s">
        <v>7</v>
      </c>
      <c r="D17" s="41"/>
      <c r="E17" s="24" t="str" cm="1">
        <f t="array" ref="E17">IF(AND(B17&lt;&gt;"",D17&lt;&gt;"",COUNT(E$10:E16)&lt;IF($V$4="L7",2,IF($V$4="Se",4,0))),IF(COUNTIFS(D$10:D16,D17,E$10:E16,"&gt;0"),"",DD(D17)),"")</f>
        <v/>
      </c>
      <c r="F17" s="102"/>
      <c r="G17" s="1"/>
      <c r="I17" s="12" t="s">
        <v>7</v>
      </c>
      <c r="J17" s="41"/>
      <c r="K17" s="24" t="str" cm="1">
        <f t="array" ref="K17">IF(OR(J17="",COUNTIFS(D$10:D$19,J17,E$10:E$19,"&gt;0"),COUNTIFS(J$10:J16,J17)),"",DD(J17))</f>
        <v/>
      </c>
      <c r="L17" s="102"/>
      <c r="M17" s="1"/>
      <c r="O17" s="12" t="s">
        <v>7</v>
      </c>
      <c r="P17" s="41"/>
      <c r="Q17" s="24" t="str" cm="1">
        <f t="array" ref="Q17">IF(OR(P17="",COUNTIFS(D$10:D$19,P17,E$10:E$19,"&gt;0"),COUNTIFS(P$10:P16,P17)),"",DD(P17))</f>
        <v/>
      </c>
      <c r="R17" s="123"/>
      <c r="S17" s="124"/>
      <c r="T17" s="125"/>
      <c r="U17" s="1"/>
      <c r="V17" s="48"/>
      <c r="W17" s="12" t="s">
        <v>7</v>
      </c>
      <c r="X17" s="41"/>
      <c r="Y17" s="24" t="str" cm="1">
        <f t="array" ref="Y17">IF(OR(X17="",COUNTIFS(X$10:X16,X17)),"",DD(X17))</f>
        <v/>
      </c>
      <c r="Z17" s="123"/>
      <c r="AA17" s="124"/>
      <c r="AB17" s="125"/>
      <c r="AC17" s="1"/>
      <c r="AD17" s="53" t="str" cm="1">
        <f t="array" ref="AD17">NUMFLIPS(D17)</f>
        <v/>
      </c>
      <c r="AE17" s="47" t="str" cm="1">
        <f t="array" ref="AE17">NUMFLIPS(J17)</f>
        <v/>
      </c>
      <c r="AF17" s="47" t="str" cm="1">
        <f t="array" ref="AF17">NUMFLIPS(P17)</f>
        <v/>
      </c>
      <c r="AJ17" s="48"/>
      <c r="AK17" s="48"/>
      <c r="AL17" s="48"/>
    </row>
    <row r="18" spans="1:38" ht="20.25" customHeight="1" x14ac:dyDescent="0.25">
      <c r="A18" s="28"/>
      <c r="B18" s="29"/>
      <c r="C18" s="20" t="s">
        <v>8</v>
      </c>
      <c r="D18" s="41"/>
      <c r="E18" s="24" t="str" cm="1">
        <f t="array" ref="E18">IF(AND(B18&lt;&gt;"",D18&lt;&gt;"",COUNT(E$10:E17)&lt;IF($V$4="L7",2,IF($V$4="Se",4,0))),IF(COUNTIFS(D$10:D17,D18,E$10:E17,"&gt;0"),"",DD(D18)),"")</f>
        <v/>
      </c>
      <c r="F18" s="102"/>
      <c r="G18" s="1"/>
      <c r="I18" s="12" t="s">
        <v>8</v>
      </c>
      <c r="J18" s="41"/>
      <c r="K18" s="24" t="str" cm="1">
        <f t="array" ref="K18">IF(OR(J18="",COUNTIFS(D$10:D$19,J18,E$10:E$19,"&gt;0"),COUNTIFS(J$10:J17,J18)),"",DD(J18))</f>
        <v/>
      </c>
      <c r="L18" s="102"/>
      <c r="M18" s="1"/>
      <c r="O18" s="12" t="s">
        <v>8</v>
      </c>
      <c r="P18" s="41"/>
      <c r="Q18" s="24" t="str" cm="1">
        <f t="array" ref="Q18">IF(OR(P18="",COUNTIFS(D$10:D$19,P18,E$10:E$19,"&gt;0"),COUNTIFS(P$10:P17,P18)),"",DD(P18))</f>
        <v/>
      </c>
      <c r="R18" s="123"/>
      <c r="S18" s="124"/>
      <c r="T18" s="125"/>
      <c r="U18" s="1"/>
      <c r="V18" s="48"/>
      <c r="W18" s="12" t="s">
        <v>8</v>
      </c>
      <c r="X18" s="41"/>
      <c r="Y18" s="24" t="str" cm="1">
        <f t="array" ref="Y18">IF(OR(X18="",COUNTIFS(X$10:X17,X18)),"",DD(X18))</f>
        <v/>
      </c>
      <c r="Z18" s="123"/>
      <c r="AA18" s="124"/>
      <c r="AB18" s="125"/>
      <c r="AC18" s="1"/>
      <c r="AD18" s="53" t="str" cm="1">
        <f t="array" ref="AD18">NUMFLIPS(D18)</f>
        <v/>
      </c>
      <c r="AE18" s="47" t="str" cm="1">
        <f t="array" ref="AE18">NUMFLIPS(J18)</f>
        <v/>
      </c>
      <c r="AF18" s="47" t="str" cm="1">
        <f t="array" ref="AF18">NUMFLIPS(P18)</f>
        <v/>
      </c>
      <c r="AJ18" s="48"/>
      <c r="AK18" s="48"/>
      <c r="AL18" s="48"/>
    </row>
    <row r="19" spans="1:38" ht="20.25" customHeight="1" thickBot="1" x14ac:dyDescent="0.3">
      <c r="A19" s="30"/>
      <c r="B19" s="31"/>
      <c r="C19" s="21" t="s">
        <v>9</v>
      </c>
      <c r="D19" s="42"/>
      <c r="E19" s="25" t="str" cm="1">
        <f t="array" ref="E19">IF(AND(B19&lt;&gt;"",D19&lt;&gt;"",COUNT(E$10:E18)&lt;IF($V$4="L7",2,IF($V$4="Se",4,0))),IF(COUNTIFS(D$10:D18,D19,E$10:E18,"&gt;0"),"",DD(D19)),"")</f>
        <v/>
      </c>
      <c r="F19" s="103"/>
      <c r="G19" s="6"/>
      <c r="I19" s="13" t="s">
        <v>9</v>
      </c>
      <c r="J19" s="42"/>
      <c r="K19" s="25" t="str" cm="1">
        <f t="array" ref="K19">IF(OR(J19="",COUNTIFS(D$10:D$19,J19,E$10:E$19,"&gt;0"),COUNTIFS(J$10:J18,J19)),"",DD(J19))</f>
        <v/>
      </c>
      <c r="L19" s="103"/>
      <c r="M19" s="6"/>
      <c r="O19" s="13" t="s">
        <v>9</v>
      </c>
      <c r="P19" s="42"/>
      <c r="Q19" s="25" t="str" cm="1">
        <f t="array" ref="Q19">IF(OR(P19="",COUNTIFS(D$10:D$19,P19,E$10:E$19,"&gt;0"),COUNTIFS(P$10:P18,P19)),"",DD(P19))</f>
        <v/>
      </c>
      <c r="R19" s="126"/>
      <c r="S19" s="127"/>
      <c r="T19" s="128"/>
      <c r="U19" s="6"/>
      <c r="V19" s="48"/>
      <c r="W19" s="13" t="s">
        <v>9</v>
      </c>
      <c r="X19" s="42"/>
      <c r="Y19" s="25" t="str" cm="1">
        <f t="array" ref="Y19">IF(OR(X19="",COUNTIFS(X$10:X18,X19)),"",DD(X19))</f>
        <v/>
      </c>
      <c r="Z19" s="126"/>
      <c r="AA19" s="127"/>
      <c r="AB19" s="128"/>
      <c r="AC19" s="6"/>
      <c r="AD19" s="53" t="str" cm="1">
        <f t="array" ref="AD19">NUMFLIPS(D19)</f>
        <v/>
      </c>
      <c r="AE19" s="47" t="str" cm="1">
        <f t="array" ref="AE19">NUMFLIPS(J19)</f>
        <v/>
      </c>
      <c r="AF19" s="47" t="str" cm="1">
        <f t="array" ref="AF19">NUMFLIPS(P19)</f>
        <v/>
      </c>
      <c r="AJ19" s="48"/>
      <c r="AK19" s="48"/>
      <c r="AL19" s="48"/>
    </row>
    <row r="20" spans="1:38" s="2" customFormat="1" ht="20.25" customHeight="1" thickTop="1" thickBot="1" x14ac:dyDescent="0.25">
      <c r="A20" s="115" t="s">
        <v>10</v>
      </c>
      <c r="B20" s="116"/>
      <c r="C20" s="116"/>
      <c r="D20" s="117"/>
      <c r="E20" s="67" t="str">
        <f>IF(SUM(E10:E19)=0,"",SUM(E10:E19))</f>
        <v/>
      </c>
      <c r="F20" s="68" t="s">
        <v>12</v>
      </c>
      <c r="G20" s="69"/>
      <c r="I20" s="74" t="s">
        <v>10</v>
      </c>
      <c r="J20" s="75"/>
      <c r="K20" s="67" t="str">
        <f>IF(SUM(K10:K19)=0,"",SUM(K10:K19))</f>
        <v/>
      </c>
      <c r="L20" s="68" t="s">
        <v>12</v>
      </c>
      <c r="M20" s="70"/>
      <c r="O20" s="74" t="s">
        <v>10</v>
      </c>
      <c r="P20" s="75"/>
      <c r="Q20" s="67" t="str">
        <f>IF(SUM(Q10:Q19)=0,"",SUM(Q10:Q19))</f>
        <v/>
      </c>
      <c r="R20" s="129" t="s">
        <v>12</v>
      </c>
      <c r="S20" s="130"/>
      <c r="T20" s="131"/>
      <c r="U20" s="70"/>
      <c r="V20" s="49"/>
      <c r="W20" s="74" t="s">
        <v>10</v>
      </c>
      <c r="X20" s="75"/>
      <c r="Y20" s="67" t="str">
        <f>IF(SUM(Y10:Y19)=0,"",SUM(Y10:Y19))</f>
        <v/>
      </c>
      <c r="Z20" s="129" t="s">
        <v>12</v>
      </c>
      <c r="AA20" s="130"/>
      <c r="AB20" s="131"/>
      <c r="AC20" s="70"/>
      <c r="AD20" s="48"/>
      <c r="AE20" s="48"/>
      <c r="AF20" s="48"/>
      <c r="AG20" s="48"/>
      <c r="AH20" s="48"/>
      <c r="AI20" s="49"/>
      <c r="AJ20" s="49"/>
      <c r="AK20" s="49"/>
      <c r="AL20" s="49"/>
    </row>
    <row r="21" spans="1:38" s="2" customFormat="1" ht="20.25" customHeight="1" thickBot="1" x14ac:dyDescent="0.25">
      <c r="A21" s="112" t="s">
        <v>17</v>
      </c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4"/>
      <c r="AD21" s="48"/>
      <c r="AE21" s="48"/>
      <c r="AF21" s="48"/>
      <c r="AG21" s="48"/>
      <c r="AH21" s="48"/>
      <c r="AI21" s="49"/>
      <c r="AJ21" s="49"/>
      <c r="AK21" s="49"/>
      <c r="AL21" s="49"/>
    </row>
    <row r="22" spans="1:38" ht="24" customHeight="1" x14ac:dyDescent="0.2">
      <c r="A22" s="35"/>
      <c r="B22" s="35"/>
      <c r="C22" s="80" t="s">
        <v>25</v>
      </c>
      <c r="D22" s="81"/>
      <c r="E22" s="81"/>
      <c r="F22" s="81"/>
      <c r="G22" s="82"/>
      <c r="H22" s="44"/>
      <c r="I22" s="80" t="s">
        <v>25</v>
      </c>
      <c r="J22" s="81"/>
      <c r="K22" s="81"/>
      <c r="L22" s="81"/>
      <c r="M22" s="82"/>
      <c r="N22" s="44"/>
      <c r="O22" s="44"/>
      <c r="P22" s="44"/>
      <c r="Q22" s="44"/>
      <c r="R22" s="44"/>
      <c r="S22" s="44"/>
      <c r="T22" s="44"/>
      <c r="U22" s="44"/>
      <c r="V22" s="51"/>
      <c r="W22" s="44"/>
      <c r="X22" s="44"/>
      <c r="Y22" s="44"/>
      <c r="Z22" s="44"/>
      <c r="AA22" s="44"/>
      <c r="AB22" s="44"/>
      <c r="AC22" s="44"/>
      <c r="AJ22" s="48"/>
      <c r="AK22" s="48"/>
      <c r="AL22" s="48"/>
    </row>
    <row r="23" spans="1:38" ht="16" customHeight="1" thickBot="1" x14ac:dyDescent="0.25">
      <c r="A23" s="34"/>
      <c r="B23" s="35"/>
      <c r="C23" s="43" t="str">
        <f>IF(D23&lt;&gt;"","r","")</f>
        <v/>
      </c>
      <c r="D23" s="72" t="str">
        <f>IF(LEFT(Q3,3)="Syn","",IF(OR($V$4="L5",$V$4="L6",$V$4="Ju"),"1 element landing on the front or back",IF($V$4="L7","1 element with at least 540˚ twist","")))</f>
        <v/>
      </c>
      <c r="E23" s="72"/>
      <c r="F23" s="72"/>
      <c r="G23" s="73"/>
      <c r="H23" s="44"/>
      <c r="I23" s="33" t="str">
        <f t="shared" ref="I23" si="0">IF(J23&lt;&gt;"","r","")</f>
        <v/>
      </c>
      <c r="J23" s="83" t="str">
        <f>IF(LEFT(Q3,3)="Syn","",IF($V$4="L5","One double",""))</f>
        <v/>
      </c>
      <c r="K23" s="83"/>
      <c r="L23" s="83"/>
      <c r="M23" s="84"/>
      <c r="N23" s="44"/>
      <c r="O23" s="36"/>
      <c r="P23" s="2" t="str">
        <f>IF(OR(AND(K20&lt;&gt;"",K20&lt;Z3),AND(Q20&lt;&gt;"",Q20&lt;Z3),AND(Y20&lt;&gt;"",Y20&lt;Z3)),"Under Min","")</f>
        <v/>
      </c>
      <c r="Q23" s="44"/>
      <c r="R23" s="44"/>
      <c r="S23" s="44"/>
      <c r="T23" s="44"/>
      <c r="U23" s="44"/>
      <c r="V23" s="51"/>
      <c r="W23" s="36"/>
      <c r="X23" s="2"/>
      <c r="Y23" s="44"/>
      <c r="Z23" s="44"/>
      <c r="AA23" s="44"/>
      <c r="AB23" s="44"/>
      <c r="AC23" s="44"/>
      <c r="AD23" s="51"/>
      <c r="AF23" s="52"/>
      <c r="AJ23" s="48"/>
      <c r="AK23" s="48"/>
      <c r="AL23" s="48"/>
    </row>
    <row r="24" spans="1:38" x14ac:dyDescent="0.2">
      <c r="A24" s="37"/>
      <c r="B24" s="37"/>
      <c r="C24" s="43" t="str">
        <f t="shared" ref="C24:C27" si="1">IF(D24&lt;&gt;"","r","")</f>
        <v/>
      </c>
      <c r="D24" s="110" t="str">
        <f>IF(LEFT(Q3,3)="Syn","",IF(OR($V$4="L5",$V$4="L6",$V$4="Ju"),"1 element taking off from the front or back",IF($V$4="L7","1 double salto (can be combined)","")))</f>
        <v/>
      </c>
      <c r="E24" s="110"/>
      <c r="F24" s="110"/>
      <c r="G24" s="111"/>
      <c r="H24" s="44"/>
      <c r="I24" s="85" t="s">
        <v>29</v>
      </c>
      <c r="J24" s="86"/>
      <c r="K24" s="86"/>
      <c r="L24" s="86"/>
      <c r="M24" s="87"/>
      <c r="N24" s="44"/>
      <c r="O24" s="44"/>
      <c r="P24" s="44"/>
      <c r="Q24" s="44"/>
      <c r="R24" s="44"/>
      <c r="S24" s="44"/>
      <c r="T24" s="44"/>
      <c r="U24" s="44"/>
      <c r="V24" s="48"/>
      <c r="W24" s="44"/>
      <c r="X24" s="44"/>
      <c r="Y24" s="44"/>
      <c r="Z24" s="44"/>
      <c r="AA24" s="44"/>
      <c r="AB24" s="44"/>
      <c r="AC24" s="44"/>
      <c r="AJ24" s="48"/>
      <c r="AK24" s="48"/>
      <c r="AL24" s="48"/>
    </row>
    <row r="25" spans="1:38" ht="16" thickBot="1" x14ac:dyDescent="0.25">
      <c r="A25" s="34"/>
      <c r="B25" s="35"/>
      <c r="C25" s="43" t="str">
        <f t="shared" si="1"/>
        <v/>
      </c>
      <c r="D25" s="72" t="str">
        <f>IF(LEFT(Q3,3)="Syn","",IF($V$4="L5","42       (Back Full)",IF(OR($V$4="L6",$V$4="Ju"),"1 double salto","")))</f>
        <v/>
      </c>
      <c r="E25" s="72"/>
      <c r="F25" s="72"/>
      <c r="G25" s="73"/>
      <c r="H25" s="44"/>
      <c r="I25" s="33" t="str">
        <f t="shared" ref="I25" si="2">IF(J25&lt;&gt;"","r","")</f>
        <v/>
      </c>
      <c r="J25" s="83" t="str">
        <f>IF(LEFT(Q3,3)="Syn","",IF(OR($V$4="L4"),"One double",""))</f>
        <v/>
      </c>
      <c r="K25" s="83"/>
      <c r="L25" s="83"/>
      <c r="M25" s="84"/>
      <c r="N25" s="44"/>
      <c r="O25" s="34"/>
      <c r="P25" s="2" t="str">
        <f>IF(OR(AND(K20&lt;&gt;"",K20&gt;AB3),AND(Q20&lt;&gt;"",Q20&gt;AB3),AND(Y20&lt;&gt;"",Y20&gt;AB3)),"Over Max","")</f>
        <v/>
      </c>
      <c r="Q25" s="44"/>
      <c r="R25" s="44"/>
      <c r="S25" s="44"/>
      <c r="T25" s="44"/>
      <c r="U25" s="44"/>
      <c r="V25" s="48"/>
      <c r="W25" s="34"/>
      <c r="X25" s="2"/>
      <c r="Y25" s="44"/>
      <c r="Z25" s="44"/>
      <c r="AA25" s="44"/>
      <c r="AB25" s="44"/>
      <c r="AC25" s="44"/>
      <c r="AJ25" s="48"/>
      <c r="AK25" s="48"/>
      <c r="AL25" s="48"/>
    </row>
    <row r="26" spans="1:38" x14ac:dyDescent="0.2">
      <c r="C26" s="43" t="str">
        <f t="shared" si="1"/>
        <v/>
      </c>
      <c r="D26" s="72" t="str">
        <f>IF(LEFT(Q3,3)="Syn","",IF($V$4="L5","43       (Rudi)",IF(OR($V$4="L6",$V$4="Ju"),"1 element with at least 540˚ twist","")))</f>
        <v/>
      </c>
      <c r="E26" s="72"/>
      <c r="F26" s="72"/>
      <c r="G26" s="73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8"/>
      <c r="W26" s="45"/>
      <c r="X26" s="45"/>
      <c r="Y26" s="45"/>
      <c r="Z26" s="45"/>
      <c r="AA26" s="45"/>
      <c r="AB26" s="45"/>
      <c r="AC26" s="45"/>
      <c r="AJ26" s="48"/>
      <c r="AK26" s="48"/>
      <c r="AL26" s="48"/>
    </row>
    <row r="27" spans="1:38" ht="16" thickBot="1" x14ac:dyDescent="0.25">
      <c r="C27" s="33" t="str">
        <f t="shared" si="1"/>
        <v/>
      </c>
      <c r="D27" s="83" t="str">
        <f>IF(LEFT(Q3,3)="Syn","",IF($V$4="L5","41&lt;     (Barani Pike)",""))</f>
        <v/>
      </c>
      <c r="E27" s="83"/>
      <c r="F27" s="83"/>
      <c r="G27" s="84"/>
      <c r="H27" s="45"/>
      <c r="I27" s="45"/>
      <c r="J27" s="39" t="str" cm="1">
        <f t="array" ref="J27">IF(AND(NOT(OR($V$4="L1",$V$4="L2",$V$4="L3",$V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X10:X19&lt;&gt;""),--(Y10:Y19="")),SUMPRODUCT(--(P10:P19&lt;&gt;""),--(Q10:Q19="")))),"Repetitions","")</f>
        <v/>
      </c>
      <c r="K27" s="45"/>
      <c r="L27" s="39" t="str">
        <f>IF(COUNTIF(E10:E19,"N/A")+COUNTIF(K10:K19,"N/A")+COUNTIF(Q10:Q19,"N/A")+COUNTIF(Y10:Y19,"N/A"),"Unknown Skills","")</f>
        <v/>
      </c>
      <c r="M27" s="45"/>
      <c r="N27" s="45"/>
      <c r="O27" s="45"/>
      <c r="P27" s="2" t="str" cm="1">
        <f t="array" ref="P27">IF(OR(AND(V4="Se",OR(NUMFLIPS(J10)&lt;3,NUMFLIPS(J11)&lt;3,NUMFLIPS(J12)&lt;3,NUMFLIPS(J13)&lt;3,NUMFLIPS(J14)&lt;3,NUMFLIPS(J15)&lt;3,NUMFLIPS(J16)&lt;3,NUMFLIPS(J17)&lt;3,NUMFLIPS(J18)&lt;3,NUMFLIPS(J19)&lt;3,NUMFLIPS(P10)&lt;3,NUMFLIPS(P11)&lt;3,NUMFLIPS(P12)&lt;3,NUMFLIPS(P13)&lt;3,NUMFLIPS(P14)&lt;3,NUMFLIPS(P15)&lt;3,NUMFLIPS(P16)&lt;3,NUMFLIPS(P17)&lt;3,NUMFLIPS(P18)&lt;3,NUMFLIPS(P19)&lt;3)),AND(OR($V$4="L5",$V$4="L6",$V$4="Ju",$V$4="L7"),SUM(NUMFLIPS(D10)&lt;3,NUMFLIPS(D11)&lt;3,NUMFLIPS(D12)&lt;3,NUMFLIPS(D13)&lt;3,NUMFLIPS(D14)&lt;3,NUMFLIPS(D15)&lt;3,NUMFLIPS(D16)&lt;3,NUMFLIPS(D17)&lt;3,NUMFLIPS(D18)&lt;3,NUMFLIPS(D19)&lt;3)&gt;1),AND($V$4="Se",SUM(NUMFLIPS(D10)&lt;3,NUMFLIPS(D11)&lt;3,NUMFLIPS(D12)&lt;3,NUMFLIPS(D13)&lt;3,NUMFLIPS(D14)&lt;3,NUMFLIPS(D15)&lt;3,NUMFLIPS(D16)&lt;3,NUMFLIPS(D17)&lt;3,NUMFLIPS(D18)&lt;3,NUMFLIPS(D19)&lt;3)&gt;0)),"&lt; 270˚","")</f>
        <v/>
      </c>
      <c r="Q27" s="45"/>
      <c r="R27" s="45"/>
      <c r="S27" s="45"/>
      <c r="T27" s="45"/>
      <c r="U27" s="45"/>
      <c r="V27" s="48"/>
      <c r="W27" s="45"/>
      <c r="X27" s="2"/>
      <c r="Y27" s="45"/>
      <c r="Z27" s="45"/>
      <c r="AA27" s="45"/>
      <c r="AB27" s="45"/>
      <c r="AC27" s="45"/>
      <c r="AJ27" s="48"/>
      <c r="AK27" s="48"/>
      <c r="AL27" s="48"/>
    </row>
    <row r="28" spans="1:38" x14ac:dyDescent="0.2">
      <c r="V28" s="48"/>
      <c r="AJ28" s="48"/>
      <c r="AK28" s="48"/>
      <c r="AL28" s="48"/>
    </row>
    <row r="29" spans="1:38" x14ac:dyDescent="0.2">
      <c r="D29" t="s">
        <v>31</v>
      </c>
      <c r="V29" s="48"/>
      <c r="AJ29" s="48"/>
      <c r="AK29" s="48"/>
      <c r="AL29" s="48"/>
    </row>
    <row r="30" spans="1:38" x14ac:dyDescent="0.2">
      <c r="V30" s="48"/>
      <c r="AJ30" s="48"/>
      <c r="AK30" s="48"/>
      <c r="AL30" s="48"/>
    </row>
    <row r="31" spans="1:38" x14ac:dyDescent="0.2">
      <c r="V31" s="48"/>
      <c r="AJ31" s="48"/>
      <c r="AK31" s="48"/>
      <c r="AL31" s="48"/>
    </row>
    <row r="32" spans="1:38" x14ac:dyDescent="0.2">
      <c r="V32" s="48"/>
      <c r="AJ32" s="48"/>
      <c r="AK32" s="48"/>
      <c r="AL32" s="48"/>
    </row>
    <row r="33" spans="22:38" x14ac:dyDescent="0.2">
      <c r="V33" s="48"/>
      <c r="AJ33" s="48"/>
      <c r="AK33" s="48"/>
      <c r="AL33" s="48"/>
    </row>
    <row r="34" spans="22:38" x14ac:dyDescent="0.2">
      <c r="V34" s="48"/>
      <c r="AJ34" s="48"/>
      <c r="AK34" s="48"/>
      <c r="AL34" s="48"/>
    </row>
    <row r="35" spans="22:38" x14ac:dyDescent="0.2">
      <c r="V35" s="48"/>
      <c r="AJ35" s="48"/>
      <c r="AK35" s="48"/>
      <c r="AL35" s="48"/>
    </row>
    <row r="36" spans="22:38" x14ac:dyDescent="0.2">
      <c r="V36" s="48"/>
      <c r="AJ36" s="48"/>
      <c r="AK36" s="48"/>
      <c r="AL36" s="48"/>
    </row>
    <row r="37" spans="22:38" x14ac:dyDescent="0.2">
      <c r="V37" s="48"/>
      <c r="AJ37" s="48"/>
      <c r="AK37" s="48"/>
      <c r="AL37" s="48"/>
    </row>
    <row r="38" spans="22:38" x14ac:dyDescent="0.2">
      <c r="V38" s="47"/>
      <c r="AD38" s="47"/>
      <c r="AE38" s="47"/>
      <c r="AF38" s="47"/>
      <c r="AG38" s="47"/>
      <c r="AH38" s="47"/>
      <c r="AI38" s="47"/>
      <c r="AJ38" s="47"/>
    </row>
  </sheetData>
  <mergeCells count="45">
    <mergeCell ref="V3:X3"/>
    <mergeCell ref="Q3:T3"/>
    <mergeCell ref="B3:F3"/>
    <mergeCell ref="W6:AC7"/>
    <mergeCell ref="W8:Y8"/>
    <mergeCell ref="Z8:AC8"/>
    <mergeCell ref="R8:U8"/>
    <mergeCell ref="W20:X20"/>
    <mergeCell ref="Z20:AB20"/>
    <mergeCell ref="W9:X9"/>
    <mergeCell ref="Z9:AB9"/>
    <mergeCell ref="R10:T19"/>
    <mergeCell ref="R20:T20"/>
    <mergeCell ref="D27:G27"/>
    <mergeCell ref="C22:G22"/>
    <mergeCell ref="F8:G8"/>
    <mergeCell ref="C9:D9"/>
    <mergeCell ref="A6:G6"/>
    <mergeCell ref="A7:G7"/>
    <mergeCell ref="A8:E8"/>
    <mergeCell ref="D23:G23"/>
    <mergeCell ref="D24:G24"/>
    <mergeCell ref="D25:G25"/>
    <mergeCell ref="A21:AC21"/>
    <mergeCell ref="A20:D20"/>
    <mergeCell ref="F10:F19"/>
    <mergeCell ref="I9:J9"/>
    <mergeCell ref="O9:P9"/>
    <mergeCell ref="Z10:AB19"/>
    <mergeCell ref="A1:AC1"/>
    <mergeCell ref="D26:G26"/>
    <mergeCell ref="O20:P20"/>
    <mergeCell ref="I20:J20"/>
    <mergeCell ref="I8:K8"/>
    <mergeCell ref="L8:M8"/>
    <mergeCell ref="I22:M22"/>
    <mergeCell ref="J23:M23"/>
    <mergeCell ref="I24:M24"/>
    <mergeCell ref="J25:M25"/>
    <mergeCell ref="I6:M7"/>
    <mergeCell ref="O6:U7"/>
    <mergeCell ref="I3:L3"/>
    <mergeCell ref="R9:T9"/>
    <mergeCell ref="L10:L19"/>
    <mergeCell ref="O8:Q8"/>
  </mergeCells>
  <conditionalFormatting sqref="J27">
    <cfRule type="expression" dxfId="22" priority="32">
      <formula>IF($J$27="Repetitions",1,0)</formula>
    </cfRule>
  </conditionalFormatting>
  <conditionalFormatting sqref="L27">
    <cfRule type="expression" dxfId="21" priority="30">
      <formula>IF($L$27="Unknown Skills",1,0)</formula>
    </cfRule>
  </conditionalFormatting>
  <conditionalFormatting sqref="P23">
    <cfRule type="expression" dxfId="20" priority="25">
      <formula>IF($P$23="Under Min",1,0)</formula>
    </cfRule>
  </conditionalFormatting>
  <conditionalFormatting sqref="P25">
    <cfRule type="expression" dxfId="19" priority="24">
      <formula>IF($P$25="Over Max",1,0)</formula>
    </cfRule>
  </conditionalFormatting>
  <conditionalFormatting sqref="P27">
    <cfRule type="expression" dxfId="18" priority="20">
      <formula>IF($P$27="&lt; 270˚",1,0)</formula>
    </cfRule>
  </conditionalFormatting>
  <conditionalFormatting sqref="X17:X19">
    <cfRule type="expression" dxfId="17" priority="16">
      <formula>IF(AND($P17&lt;&gt;"",$Q17=""),1,0)</formula>
    </cfRule>
  </conditionalFormatting>
  <conditionalFormatting sqref="X16">
    <cfRule type="expression" dxfId="16" priority="11">
      <formula>IF($K16="N/A",1,0)</formula>
    </cfRule>
    <cfRule type="expression" dxfId="15" priority="12">
      <formula>IF(AND($J16&lt;&gt;"",$K16=""),1,0)</formula>
    </cfRule>
  </conditionalFormatting>
  <conditionalFormatting sqref="X10:Y19">
    <cfRule type="expression" dxfId="14" priority="7">
      <formula>IF($Y10="N/A",1,0)</formula>
    </cfRule>
    <cfRule type="expression" dxfId="13" priority="8">
      <formula>IF(AND($X10&lt;&gt;"",$Y10=""),1,0)</formula>
    </cfRule>
  </conditionalFormatting>
  <conditionalFormatting sqref="Y20 Q20 K20">
    <cfRule type="expression" dxfId="12" priority="45">
      <formula>IF(AND(K$20&lt;&gt;"",K$20&gt;$AB$3),1,0)</formula>
    </cfRule>
    <cfRule type="expression" dxfId="11" priority="46">
      <formula>IF(AND(K$20&lt;&gt;"",K$20&lt;$Z$3),1,0)</formula>
    </cfRule>
  </conditionalFormatting>
  <conditionalFormatting sqref="D10:E19">
    <cfRule type="expression" dxfId="10" priority="47">
      <formula>IF(OR(AND(OR($V$4="L5",$V$4="L6",$V$4="Ju",$V$4="L7"),AND($AD10&lt;3,COUNTIF($AD$10:$AD10,"&lt;3")&gt;1)),AND($V$4="Se",AND($AD10&lt;3,COUNTIF($AD$10:$AD10,"&lt;3")&gt;0))),1,0)</formula>
    </cfRule>
    <cfRule type="expression" dxfId="9" priority="48">
      <formula>IF($E10="N/A",1,0)</formula>
    </cfRule>
    <cfRule type="expression" dxfId="8" priority="49">
      <formula>IF(AND(NOT(OR($V$4="L1",$V$4="L2",$V$4="L3",$V$4="L4")),$D10&lt;&gt;"",SUMPRODUCT(--($D$9:$D9=$D10))),1,0)</formula>
    </cfRule>
  </conditionalFormatting>
  <conditionalFormatting sqref="A6:G20">
    <cfRule type="expression" dxfId="7" priority="68">
      <formula>IF(AND(LEFT($Q$3,3)="Syn",OR($V$4="L1",$V$4="L2",$V$4="L3",$V$4="L4",$V$4="L5",$V$4="L6")),1,0)</formula>
    </cfRule>
  </conditionalFormatting>
  <conditionalFormatting sqref="P10:Q19">
    <cfRule type="expression" dxfId="6" priority="75">
      <formula>IF(AND($V$4="Se",$AF10&lt;3),1,0)</formula>
    </cfRule>
    <cfRule type="expression" dxfId="5" priority="76">
      <formula>IF($Q10="N/A",1,0)</formula>
    </cfRule>
    <cfRule type="expression" dxfId="4" priority="77">
      <formula>IF(AND($P10&lt;&gt;"",$Q10=""),1,0)</formula>
    </cfRule>
  </conditionalFormatting>
  <conditionalFormatting sqref="J10:K19">
    <cfRule type="expression" dxfId="3" priority="78">
      <formula>IF(AND($V$4="Se",$AE10&lt;3),1,0)</formula>
    </cfRule>
    <cfRule type="expression" dxfId="2" priority="79">
      <formula>IF($K10="N/A",1,0)</formula>
    </cfRule>
    <cfRule type="expression" dxfId="1" priority="80">
      <formula>IF(AND($J10&lt;&gt;"",$K10=""),1,0)</formula>
    </cfRule>
  </conditionalFormatting>
  <conditionalFormatting sqref="O6:U20">
    <cfRule type="expression" dxfId="0" priority="1">
      <formula>IF(OR(LEFT($Q$3,3)="Syn",$V$4="L1",$V$4="L2",$V$4="L3",$V$4="L4",$V$4="L5",$V$4="L6",$V$4="Ju",$V$4="L7"),1,0)</formula>
    </cfRule>
  </conditionalFormatting>
  <dataValidations count="3">
    <dataValidation type="list" allowBlank="1" showInputMessage="1" sqref="D10:D19 J10:J19 X10:X19 P10:P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Q3" xr:uid="{981916E7-3A1B-3446-BCA4-9B15F7A7CD7A}">
      <formula1>"Choose:,Individual Women/Femmes,Individual Men/Hommes,Synchro Women/Femmes,Synchro Men/Hommes"</formula1>
    </dataValidation>
    <dataValidation type="list" allowBlank="1" showInputMessage="1" showErrorMessage="1" sqref="V3" xr:uid="{6D7BB8C4-D2D2-FE4F-A463-CC62A0508997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67" orientation="landscape" r:id="rId1"/>
  <headerFooter>
    <oddFooter>&amp;R&amp;"Calibri,Regular"&amp;K0000002021 Version 1.0 (Sept 2020)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29</xdr:col>
                    <xdr:colOff>50800</xdr:colOff>
                    <xdr:row>1</xdr:row>
                    <xdr:rowOff>38100</xdr:rowOff>
                  </from>
                  <to>
                    <xdr:col>29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2020-09-21T00:25:43Z</dcterms:modified>
  <cp:category/>
</cp:coreProperties>
</file>