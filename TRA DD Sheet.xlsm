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Events/2018 Nationals/DD Sheets/"/>
    </mc:Choice>
  </mc:AlternateContent>
  <xr:revisionPtr revIDLastSave="0" documentId="13_ncr:1_{17806BA8-E1C5-744E-81DF-527B85ACE723}" xr6:coauthVersionLast="34" xr6:coauthVersionMax="34" xr10:uidLastSave="{00000000-0000-0000-0000-000000000000}"/>
  <bookViews>
    <workbookView xWindow="0" yWindow="440" windowWidth="24900" windowHeight="16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SYN'!$A$1:$S$25</definedName>
  </definedNames>
  <calcPr calcId="179017"/>
</workbook>
</file>

<file path=xl/calcChain.xml><?xml version="1.0" encoding="utf-8"?>
<calcChain xmlns="http://schemas.openxmlformats.org/spreadsheetml/2006/main">
  <c r="R3" i="1" l="1"/>
  <c r="Q19" i="1" l="1"/>
  <c r="Q18" i="1"/>
  <c r="Q17" i="1"/>
  <c r="Q16" i="1"/>
  <c r="Q15" i="1"/>
  <c r="Q14" i="1"/>
  <c r="Q13" i="1"/>
  <c r="Q12" i="1"/>
  <c r="Q11" i="1"/>
  <c r="Q10" i="1"/>
  <c r="K19" i="1"/>
  <c r="K18" i="1"/>
  <c r="K17" i="1"/>
  <c r="K16" i="1"/>
  <c r="K15" i="1"/>
  <c r="K14" i="1"/>
  <c r="K13" i="1"/>
  <c r="K12" i="1"/>
  <c r="K11" i="1"/>
  <c r="K10" i="1"/>
  <c r="E10" i="1"/>
  <c r="E11" i="1" s="1"/>
  <c r="E12" i="1" l="1"/>
  <c r="E13" i="1" s="1"/>
  <c r="J25" i="1"/>
  <c r="I25" i="1" s="1"/>
  <c r="J23" i="1"/>
  <c r="I23" i="1" s="1"/>
  <c r="E14" i="1" l="1"/>
  <c r="E15" i="1" l="1"/>
  <c r="E16" i="1" s="1"/>
  <c r="Q20" i="1"/>
  <c r="E17" i="1" l="1"/>
  <c r="E18" i="1" s="1"/>
  <c r="K20" i="1"/>
  <c r="E19" i="1" l="1"/>
  <c r="E20" i="1" s="1"/>
</calcChain>
</file>

<file path=xl/sharedStrings.xml><?xml version="1.0" encoding="utf-8"?>
<sst xmlns="http://schemas.openxmlformats.org/spreadsheetml/2006/main" count="68" uniqueCount="32">
  <si>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</si>
  <si>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</si>
  <si>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</si>
  <si>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</si>
  <si>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</si>
  <si>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</si>
  <si>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</si>
  <si>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</si>
  <si>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</si>
  <si>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</si>
  <si>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</si>
  <si>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</si>
  <si>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</si>
  <si>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</si>
  <si>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</si>
  <si>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</si>
  <si>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</si>
  <si>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</si>
  <si>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</si>
  <si>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</si>
  <si>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</si>
  <si>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4 DD Skills for L6, Junior and Senior</t>
  </si>
  <si>
    <t>Name/Nom</t>
  </si>
  <si>
    <t>Club</t>
  </si>
  <si>
    <t>Category/Categorie</t>
  </si>
  <si>
    <t>Max DD</t>
  </si>
  <si>
    <t>Event</t>
  </si>
  <si>
    <t>Requirements:</t>
  </si>
  <si>
    <t>Mobility Element:</t>
  </si>
  <si>
    <t>Req(*)</t>
  </si>
  <si>
    <t>DD(*)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</si>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</sst>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9" xfId="0" applyFont="1" applyBorder="1"/>
    <xf numFmtId="0" fontId="1" fillId="0" borderId="15" xfId="0" applyFont="1" applyBorder="1" applyAlignment="1">
      <alignment horizontal="right"/>
    </xf>
    <xf numFmtId="0" fontId="1" fillId="0" borderId="6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0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26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49" fontId="0" fillId="2" borderId="11" xfId="0" applyNumberFormat="1" applyFill="1" applyBorder="1" applyProtection="1">
      <protection locked="0"/>
    </xf>
    <xf numFmtId="164" fontId="1" fillId="0" borderId="9" xfId="0" applyNumberFormat="1" applyFont="1" applyBorder="1" applyAlignment="1" applyProtection="1">
      <alignment wrapText="1"/>
    </xf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Fill="1" applyBorder="1"/>
    <xf numFmtId="0" fontId="0" fillId="0" borderId="22" xfId="0" applyFill="1" applyBorder="1" applyAlignment="1" applyProtection="1"/>
    <xf numFmtId="0" fontId="0" fillId="0" borderId="24" xfId="0" applyFont="1" applyFill="1" applyBorder="1" applyAlignment="1" applyProtection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9" fillId="2" borderId="0" xfId="0" applyFont="1" applyFill="1" applyBorder="1" applyAlignment="1" applyProtection="1">
      <alignment horizontal="center"/>
    </xf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3" borderId="23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24" xfId="0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/>
      <protection locked="0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7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right"/>
    </xf>
    <xf numFmtId="0" fontId="1" fillId="0" borderId="8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X25"/>
  <sheetViews>
    <sheetView tabSelected="1" zoomScale="150" zoomScaleNormal="150" workbookViewId="0">
      <selection activeCell="A10" sqref="A10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5.3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5.3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15.33203125" customWidth="1"/>
    <col min="19" max="19" width="5.33203125" customWidth="1"/>
  </cols>
  <sheetData>
    <row r="1" spans="1:19" ht="22" thickBot="1" x14ac:dyDescent="0.3">
      <c r="A1" s="76" t="s">
        <v>19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</row>
    <row r="2" spans="1:19" ht="19" customHeight="1" x14ac:dyDescent="0.2">
      <c r="A2" s="17"/>
      <c r="B2" s="18" t="s">
        <v>22</v>
      </c>
      <c r="C2" s="18"/>
      <c r="D2" s="18"/>
      <c r="E2" s="18"/>
      <c r="F2" s="18"/>
      <c r="G2" s="18" t="s">
        <v>23</v>
      </c>
      <c r="H2" s="18"/>
      <c r="I2" s="18"/>
      <c r="J2" s="18"/>
      <c r="K2" s="18"/>
      <c r="L2" s="18" t="s">
        <v>26</v>
      </c>
      <c r="M2" s="18"/>
      <c r="N2" s="18"/>
      <c r="O2" s="18" t="s">
        <v>24</v>
      </c>
      <c r="P2" s="18"/>
      <c r="Q2" s="18"/>
      <c r="R2" s="18" t="s">
        <v>25</v>
      </c>
      <c r="S2" s="43"/>
    </row>
    <row r="3" spans="1:19" ht="19" customHeight="1" x14ac:dyDescent="0.2">
      <c r="A3" s="19"/>
      <c r="B3" s="67"/>
      <c r="C3" s="67"/>
      <c r="D3" s="67"/>
      <c r="E3" s="67"/>
      <c r="F3" s="41"/>
      <c r="G3" s="64"/>
      <c r="H3" s="64"/>
      <c r="I3" s="64"/>
      <c r="J3" s="64"/>
      <c r="K3" s="20"/>
      <c r="L3" s="64" t="s">
        <v>31</v>
      </c>
      <c r="M3" s="64"/>
      <c r="N3" s="42"/>
      <c r="O3" s="64" t="s">
        <v>31</v>
      </c>
      <c r="P3" s="64"/>
      <c r="Q3" s="20"/>
      <c r="R3" s="49" t="str">
        <f>IF(OR($L$3="Choose:",$O$3="Choose:"),"",IF(AND($L$3="Individual Women/Femmes",OR($O$3="L5-Novice 16U",$O$3="L5-Novice 17+")),9.4,IF(AND($L$3="Individual Men/Hommes",OR($O$3="L5-Novice 16U",$O$3="L5-Novice 17+")),10.2,IF(OR(AND($L$3="Synchro Women/Femmes",$O$3="L5"),AND($L$3="Individual Women/Femmes",OR($O$3="L6-Espoir 17U",$O$3="L6-Espoir 18+"))),10.9,IF(OR(AND($L$3="Synchro Men/Hommes",$O$3="L5"),AND($L$3="Individual Men/Hommes",OR($O$3="L6-Espoir 17U",$O$3="L6-Espoir 18+"))),13.1,"No Max")))))</f>
        <v/>
      </c>
      <c r="S3" s="44"/>
    </row>
    <row r="4" spans="1:19" ht="18.75" customHeight="1" thickBot="1" x14ac:dyDescent="0.25">
      <c r="A4" s="21"/>
      <c r="B4" s="22"/>
      <c r="C4" s="22"/>
      <c r="D4" s="22"/>
      <c r="E4" s="22"/>
      <c r="F4" s="22"/>
      <c r="G4" s="51"/>
      <c r="H4" s="51"/>
      <c r="I4" s="22"/>
      <c r="J4" s="22"/>
      <c r="K4" s="22"/>
      <c r="L4" s="22"/>
      <c r="M4" s="22"/>
      <c r="N4" s="22"/>
      <c r="O4" s="22"/>
      <c r="P4" s="22"/>
      <c r="Q4" s="22"/>
      <c r="R4" s="22"/>
      <c r="S4" s="23"/>
    </row>
    <row r="5" spans="1:19" ht="8.25" customHeight="1" thickBot="1" x14ac:dyDescent="0.25"/>
    <row r="6" spans="1:19" s="2" customFormat="1" ht="22" customHeight="1" x14ac:dyDescent="0.25">
      <c r="A6" s="68" t="s">
        <v>20</v>
      </c>
      <c r="B6" s="69"/>
      <c r="C6" s="69"/>
      <c r="D6" s="69"/>
      <c r="E6" s="69"/>
      <c r="F6" s="69"/>
      <c r="G6" s="70"/>
      <c r="I6" s="85" t="s">
        <v>18</v>
      </c>
      <c r="J6" s="86"/>
      <c r="K6" s="86"/>
      <c r="L6" s="86"/>
      <c r="M6" s="87"/>
      <c r="N6" s="3"/>
      <c r="O6" s="85" t="s">
        <v>14</v>
      </c>
      <c r="P6" s="86"/>
      <c r="Q6" s="86"/>
      <c r="R6" s="86"/>
      <c r="S6" s="87"/>
    </row>
    <row r="7" spans="1:19" ht="17" customHeight="1" x14ac:dyDescent="0.25">
      <c r="A7" s="71" t="s">
        <v>21</v>
      </c>
      <c r="B7" s="72"/>
      <c r="C7" s="72"/>
      <c r="D7" s="72"/>
      <c r="E7" s="72"/>
      <c r="F7" s="72"/>
      <c r="G7" s="73"/>
      <c r="I7" s="88"/>
      <c r="J7" s="89"/>
      <c r="K7" s="89"/>
      <c r="L7" s="89"/>
      <c r="M7" s="90"/>
      <c r="N7" s="4"/>
      <c r="O7" s="88"/>
      <c r="P7" s="89"/>
      <c r="Q7" s="89"/>
      <c r="R7" s="89"/>
      <c r="S7" s="90"/>
    </row>
    <row r="8" spans="1:19" s="7" customFormat="1" ht="20.25" customHeight="1" x14ac:dyDescent="0.2">
      <c r="A8" s="60" t="s">
        <v>15</v>
      </c>
      <c r="B8" s="62"/>
      <c r="C8" s="62"/>
      <c r="D8" s="61"/>
      <c r="E8" s="61"/>
      <c r="F8" s="62" t="s">
        <v>16</v>
      </c>
      <c r="G8" s="63"/>
      <c r="I8" s="60" t="s">
        <v>15</v>
      </c>
      <c r="J8" s="61"/>
      <c r="K8" s="61"/>
      <c r="L8" s="62" t="s">
        <v>16</v>
      </c>
      <c r="M8" s="63"/>
      <c r="O8" s="60" t="s">
        <v>15</v>
      </c>
      <c r="P8" s="61"/>
      <c r="Q8" s="61"/>
      <c r="R8" s="62" t="s">
        <v>16</v>
      </c>
      <c r="S8" s="63"/>
    </row>
    <row r="9" spans="1:19" s="2" customFormat="1" ht="16" thickBot="1" x14ac:dyDescent="0.25">
      <c r="A9" s="31" t="s">
        <v>29</v>
      </c>
      <c r="B9" s="32" t="s">
        <v>30</v>
      </c>
      <c r="C9" s="65" t="s">
        <v>13</v>
      </c>
      <c r="D9" s="66"/>
      <c r="E9" s="13" t="s">
        <v>11</v>
      </c>
      <c r="F9" s="9"/>
      <c r="G9" s="8" t="s">
        <v>11</v>
      </c>
      <c r="I9" s="83" t="s">
        <v>13</v>
      </c>
      <c r="J9" s="84"/>
      <c r="K9" s="13" t="s">
        <v>11</v>
      </c>
      <c r="L9" s="9"/>
      <c r="M9" s="8" t="s">
        <v>11</v>
      </c>
      <c r="O9" s="83" t="s">
        <v>13</v>
      </c>
      <c r="P9" s="84"/>
      <c r="Q9" s="13" t="s">
        <v>11</v>
      </c>
      <c r="R9" s="13"/>
      <c r="S9" s="8" t="s">
        <v>11</v>
      </c>
    </row>
    <row r="10" spans="1:19" ht="20.25" customHeight="1" thickTop="1" x14ac:dyDescent="0.25">
      <c r="A10" s="35"/>
      <c r="B10" s="36"/>
      <c r="C10" s="28" t="s">
        <v>0</v>
      </c>
      <c r="D10" s="24"/>
      <c r="E10" s="33" t="str">
        <f>IF(AND(D10&lt;&gt;"",B10&lt;&gt;"",OR($O$3="L6-Espoir 17U",$O$3="L6-Espoir 18+",$O$3="Junior",$O$3="Senior")),DD(D10),"")</f>
        <v/>
      </c>
      <c r="F10" s="80"/>
      <c r="G10" s="5"/>
      <c r="I10" s="14" t="s">
        <v>0</v>
      </c>
      <c r="J10" s="24"/>
      <c r="K10" s="33" t="str">
        <f>IF(OR(J10="",COUNTIFS(D$10:D$19,J10,E$10:E$19,"&gt;0")),"",DD(J10))</f>
        <v/>
      </c>
      <c r="L10" s="80"/>
      <c r="M10" s="5"/>
      <c r="O10" s="14" t="s">
        <v>0</v>
      </c>
      <c r="P10" s="24"/>
      <c r="Q10" s="33" t="str">
        <f>IF(P10="","",DD(P10))</f>
        <v/>
      </c>
      <c r="R10" s="80"/>
      <c r="S10" s="5"/>
    </row>
    <row r="11" spans="1:19" ht="20.25" customHeight="1" x14ac:dyDescent="0.25">
      <c r="A11" s="37"/>
      <c r="B11" s="38"/>
      <c r="C11" s="29" t="s">
        <v>1</v>
      </c>
      <c r="D11" s="25"/>
      <c r="E11" s="33" t="str">
        <f>IF(AND(B11&lt;&gt;"",COUNT(E$10:E10)&lt;IF($O$3="L5",0,IF(OR($O$3="L5-Novice 16U",$O$3="L5-Novice 17+"),0,IF(OR($O$3="L6-Espoir 17U",$O$3="L6-Espoir 18+"),4,IF($O$3="Junior",4,IF($O$3="Senior",4,0)))))),IF(COUNTIFS(D$10:D10,D11,E$10:E10,"&gt;0"),"",DD(D11)),"")</f>
        <v/>
      </c>
      <c r="F11" s="81"/>
      <c r="G11" s="1"/>
      <c r="I11" s="15" t="s">
        <v>1</v>
      </c>
      <c r="J11" s="25"/>
      <c r="K11" s="33" t="str">
        <f>IF(OR(J11="",COUNTIFS(D$10:D$19,J11,E$10:E$19,"&gt;0"),COUNTIFS(J$10:J10,J11)),"",DD(J11))</f>
        <v/>
      </c>
      <c r="L11" s="81"/>
      <c r="M11" s="1"/>
      <c r="O11" s="15" t="s">
        <v>1</v>
      </c>
      <c r="P11" s="25"/>
      <c r="Q11" s="33" t="str">
        <f>IF(OR(P11="",COUNTIFS(P$10:P10,P11)),"",DD(P11))</f>
        <v/>
      </c>
      <c r="R11" s="81"/>
      <c r="S11" s="1"/>
    </row>
    <row r="12" spans="1:19" ht="20.25" customHeight="1" x14ac:dyDescent="0.25">
      <c r="A12" s="37"/>
      <c r="B12" s="38"/>
      <c r="C12" s="29" t="s">
        <v>2</v>
      </c>
      <c r="D12" s="25"/>
      <c r="E12" s="33" t="str">
        <f>IF(AND(B12&lt;&gt;"",COUNT(E$10:E11)&lt;IF($O$3="L5",0,IF(OR($O$3="L5-Novice 16U",$O$3="L5-Novice 17+"),0,IF(OR($O$3="L6-Espoir 17U",$O$3="L6-Espoir 18+"),4,IF($O$3="Junior",4,IF($O$3="Senior",4,0)))))),IF(COUNTIFS(D$10:D11,D12,E$10:E11,"&gt;0"),"",DD(D12)),"")</f>
        <v/>
      </c>
      <c r="F12" s="81"/>
      <c r="G12" s="1"/>
      <c r="I12" s="15" t="s">
        <v>2</v>
      </c>
      <c r="J12" s="25"/>
      <c r="K12" s="33" t="str">
        <f>IF(OR(J12="",COUNTIFS(D$10:D$19,J12,E$10:E$19,"&gt;0"),COUNTIFS(J$10:J11,J12)),"",DD(J12))</f>
        <v/>
      </c>
      <c r="L12" s="81"/>
      <c r="M12" s="1"/>
      <c r="O12" s="15" t="s">
        <v>2</v>
      </c>
      <c r="P12" s="25"/>
      <c r="Q12" s="33" t="str">
        <f>IF(OR(P12="",COUNTIFS(P$10:P11,P12)),"",DD(P12))</f>
        <v/>
      </c>
      <c r="R12" s="81"/>
      <c r="S12" s="1"/>
    </row>
    <row r="13" spans="1:19" ht="20.25" customHeight="1" x14ac:dyDescent="0.25">
      <c r="A13" s="37"/>
      <c r="B13" s="38"/>
      <c r="C13" s="29" t="s">
        <v>3</v>
      </c>
      <c r="D13" s="25"/>
      <c r="E13" s="33" t="str">
        <f>IF(AND(B13&lt;&gt;"",COUNT(E$10:E12)&lt;IF($O$3="L5",0,IF(OR($O$3="L5-Novice 16U",$O$3="L5-Novice 17+"),0,IF(OR($O$3="L6-Espoir 17U",$O$3="L6-Espoir 18+"),4,IF($O$3="Junior",4,IF($O$3="Senior",4,0)))))),IF(COUNTIFS(D$10:D12,D13,E$10:E12,"&gt;0"),"",DD(D13)),"")</f>
        <v/>
      </c>
      <c r="F13" s="81"/>
      <c r="G13" s="1"/>
      <c r="I13" s="15" t="s">
        <v>3</v>
      </c>
      <c r="J13" s="25"/>
      <c r="K13" s="33" t="str">
        <f>IF(OR(J13="",COUNTIFS(D$10:D$19,J13,E$10:E$19,"&gt;0"),COUNTIFS(J$10:J12,J13)),"",DD(J13))</f>
        <v/>
      </c>
      <c r="L13" s="81"/>
      <c r="M13" s="1"/>
      <c r="O13" s="15" t="s">
        <v>3</v>
      </c>
      <c r="P13" s="25"/>
      <c r="Q13" s="33" t="str">
        <f>IF(OR(P13="",COUNTIFS(P$10:P12,P13)),"",DD(P13))</f>
        <v/>
      </c>
      <c r="R13" s="81"/>
      <c r="S13" s="1"/>
    </row>
    <row r="14" spans="1:19" ht="20.25" customHeight="1" x14ac:dyDescent="0.25">
      <c r="A14" s="37"/>
      <c r="B14" s="38"/>
      <c r="C14" s="29" t="s">
        <v>4</v>
      </c>
      <c r="D14" s="25"/>
      <c r="E14" s="33" t="str">
        <f>IF(AND(B14&lt;&gt;"",COUNT(E$10:E13)&lt;IF($O$3="L5",0,IF(OR($O$3="L5-Novice 16U",$O$3="L5-Novice 17+"),0,IF(OR($O$3="L6-Espoir 17U",$O$3="L6-Espoir 18+"),4,IF($O$3="Junior",4,IF($O$3="Senior",4,0)))))),IF(COUNTIFS(D$10:D13,D14,E$10:E13,"&gt;0"),"",DD(D14)),"")</f>
        <v/>
      </c>
      <c r="F14" s="81"/>
      <c r="G14" s="1"/>
      <c r="I14" s="15" t="s">
        <v>4</v>
      </c>
      <c r="J14" s="25"/>
      <c r="K14" s="33" t="str">
        <f>IF(OR(J14="",COUNTIFS(D$10:D$19,J14,E$10:E$19,"&gt;0"),COUNTIFS(J$10:J13,J14)),"",DD(J14))</f>
        <v/>
      </c>
      <c r="L14" s="81"/>
      <c r="M14" s="1"/>
      <c r="O14" s="15" t="s">
        <v>4</v>
      </c>
      <c r="P14" s="25"/>
      <c r="Q14" s="33" t="str">
        <f>IF(OR(P14="",COUNTIFS(P$10:P13,P14)),"",DD(P14))</f>
        <v/>
      </c>
      <c r="R14" s="81"/>
      <c r="S14" s="1"/>
    </row>
    <row r="15" spans="1:19" ht="20.25" customHeight="1" x14ac:dyDescent="0.25">
      <c r="A15" s="37"/>
      <c r="B15" s="38"/>
      <c r="C15" s="29" t="s">
        <v>5</v>
      </c>
      <c r="D15" s="25"/>
      <c r="E15" s="33" t="str">
        <f>IF(AND(B15&lt;&gt;"",COUNT(E$10:E14)&lt;IF($O$3="L5",0,IF(OR($O$3="L5-Novice 16U",$O$3="L5-Novice 17+"),0,IF(OR($O$3="L6-Espoir 17U",$O$3="L6-Espoir 18+"),4,IF($O$3="Junior",4,IF($O$3="Senior",4,0)))))),IF(COUNTIFS(D$10:D14,D15,E$10:E14,"&gt;0"),"",DD(D15)),"")</f>
        <v/>
      </c>
      <c r="F15" s="81"/>
      <c r="G15" s="1"/>
      <c r="I15" s="15" t="s">
        <v>5</v>
      </c>
      <c r="J15" s="25"/>
      <c r="K15" s="33" t="str">
        <f>IF(OR(J15="",COUNTIFS(D$10:D$19,J15,E$10:E$19,"&gt;0"),COUNTIFS(J$10:J14,J15)),"",DD(J15))</f>
        <v/>
      </c>
      <c r="L15" s="81"/>
      <c r="M15" s="1"/>
      <c r="O15" s="15" t="s">
        <v>5</v>
      </c>
      <c r="P15" s="25"/>
      <c r="Q15" s="33" t="str">
        <f>IF(OR(P15="",COUNTIFS(P$10:P14,P15)),"",DD(P15))</f>
        <v/>
      </c>
      <c r="R15" s="81"/>
      <c r="S15" s="1"/>
    </row>
    <row r="16" spans="1:19" ht="20.25" customHeight="1" x14ac:dyDescent="0.25">
      <c r="A16" s="37"/>
      <c r="B16" s="38"/>
      <c r="C16" s="29" t="s">
        <v>6</v>
      </c>
      <c r="D16" s="25"/>
      <c r="E16" s="33" t="str">
        <f>IF(AND(B16&lt;&gt;"",COUNT(E$10:E15)&lt;IF($O$3="L5",0,IF(OR($O$3="L5-Novice 16U",$O$3="L5-Novice 17+"),0,IF(OR($O$3="L6-Espoir 17U",$O$3="L6-Espoir 18+"),4,IF($O$3="Junior",4,IF($O$3="Senior",4,0)))))),IF(COUNTIFS(D$10:D15,D16,E$10:E15,"&gt;0"),"",DD(D16)),"")</f>
        <v/>
      </c>
      <c r="F16" s="81"/>
      <c r="G16" s="1"/>
      <c r="I16" s="15" t="s">
        <v>6</v>
      </c>
      <c r="J16" s="25"/>
      <c r="K16" s="33" t="str">
        <f>IF(OR(J16="",COUNTIFS(D$10:D$19,J16,E$10:E$19,"&gt;0"),COUNTIFS(J$10:J15,J16)),"",DD(J16))</f>
        <v/>
      </c>
      <c r="L16" s="81"/>
      <c r="M16" s="1"/>
      <c r="O16" s="15" t="s">
        <v>6</v>
      </c>
      <c r="P16" s="25"/>
      <c r="Q16" s="33" t="str">
        <f>IF(OR(P16="",COUNTIFS(P$10:P15,P16)),"",DD(P16))</f>
        <v/>
      </c>
      <c r="R16" s="81"/>
      <c r="S16" s="1"/>
    </row>
    <row r="17" spans="1:24" ht="20.25" customHeight="1" x14ac:dyDescent="0.25">
      <c r="A17" s="37"/>
      <c r="B17" s="38"/>
      <c r="C17" s="29" t="s">
        <v>7</v>
      </c>
      <c r="D17" s="25"/>
      <c r="E17" s="33" t="str">
        <f>IF(AND(B17&lt;&gt;"",COUNT(E$10:E16)&lt;IF($O$3="L5",0,IF(OR($O$3="L5-Novice 16U",$O$3="L5-Novice 17+"),0,IF(OR($O$3="L6-Espoir 17U",$O$3="L6-Espoir 18+"),4,IF($O$3="Junior",4,IF($O$3="Senior",4,0)))))),IF(COUNTIFS(D$10:D16,D17,E$10:E16,"&gt;0"),"",DD(D17)),"")</f>
        <v/>
      </c>
      <c r="F17" s="81"/>
      <c r="G17" s="1"/>
      <c r="I17" s="15" t="s">
        <v>7</v>
      </c>
      <c r="J17" s="25"/>
      <c r="K17" s="33" t="str">
        <f>IF(OR(J17="",COUNTIFS(D$10:D$19,J17,E$10:E$19,"&gt;0"),COUNTIFS(J$10:J16,J17)),"",DD(J17))</f>
        <v/>
      </c>
      <c r="L17" s="81"/>
      <c r="M17" s="1"/>
      <c r="O17" s="15" t="s">
        <v>7</v>
      </c>
      <c r="P17" s="25"/>
      <c r="Q17" s="33" t="str">
        <f>IF(OR(P17="",COUNTIFS(P$10:P16,P17)),"",DD(P17))</f>
        <v/>
      </c>
      <c r="R17" s="81"/>
      <c r="S17" s="1"/>
    </row>
    <row r="18" spans="1:24" ht="20.25" customHeight="1" x14ac:dyDescent="0.25">
      <c r="A18" s="37"/>
      <c r="B18" s="38"/>
      <c r="C18" s="29" t="s">
        <v>8</v>
      </c>
      <c r="D18" s="25"/>
      <c r="E18" s="33" t="str">
        <f>IF(AND(B18&lt;&gt;"",COUNT(E$10:E17)&lt;IF($O$3="L5",0,IF(OR($O$3="L5-Novice 16U",$O$3="L5-Novice 17+"),0,IF(OR($O$3="L6-Espoir 17U",$O$3="L6-Espoir 18+"),4,IF($O$3="Junior",4,IF($O$3="Senior",4,0)))))),IF(COUNTIFS(D$10:D17,D18,E$10:E17,"&gt;0"),"",DD(D18)),"")</f>
        <v/>
      </c>
      <c r="F18" s="81"/>
      <c r="G18" s="1"/>
      <c r="I18" s="15" t="s">
        <v>8</v>
      </c>
      <c r="J18" s="25"/>
      <c r="K18" s="33" t="str">
        <f>IF(OR(J18="",COUNTIFS(D$10:D$19,J18,E$10:E$19,"&gt;0"),COUNTIFS(J$10:J17,J18)),"",DD(J18))</f>
        <v/>
      </c>
      <c r="L18" s="81"/>
      <c r="M18" s="1"/>
      <c r="O18" s="15" t="s">
        <v>8</v>
      </c>
      <c r="P18" s="25"/>
      <c r="Q18" s="33" t="str">
        <f>IF(OR(P18="",COUNTIFS(P$10:P17,P18)),"",DD(P18))</f>
        <v/>
      </c>
      <c r="R18" s="81"/>
      <c r="S18" s="1"/>
    </row>
    <row r="19" spans="1:24" ht="20.25" customHeight="1" thickBot="1" x14ac:dyDescent="0.3">
      <c r="A19" s="39"/>
      <c r="B19" s="40"/>
      <c r="C19" s="30" t="s">
        <v>9</v>
      </c>
      <c r="D19" s="26"/>
      <c r="E19" s="34" t="str">
        <f>IF(AND(B19&lt;&gt;"",COUNT(E$10:E18)&lt;IF($O$3="L5",0,IF(OR($O$3="L5-Novice 16U",$O$3="L5-Novice 17+"),0,IF(OR($O$3="L6-Espoir 17U",$O$3="L6-Espoir 18+"),4,IF($O$3="Junior",4,IF($O$3="Senior",4,0)))))),IF(COUNTIFS(D$10:D18,D19,E$10:E18,"&gt;0"),"",DD(D19)),"")</f>
        <v/>
      </c>
      <c r="F19" s="82"/>
      <c r="G19" s="6"/>
      <c r="I19" s="16" t="s">
        <v>9</v>
      </c>
      <c r="J19" s="26"/>
      <c r="K19" s="34" t="str">
        <f>IF(OR(J19="",COUNTIFS(D$10:D$19,J19,E$10:E$19,"&gt;0"),COUNTIFS(J$10:J18,J19)),"",DD(J19))</f>
        <v/>
      </c>
      <c r="L19" s="82"/>
      <c r="M19" s="6"/>
      <c r="O19" s="16" t="s">
        <v>9</v>
      </c>
      <c r="P19" s="26"/>
      <c r="Q19" s="34" t="str">
        <f>IF(OR(P19="",COUNTIFS(P$10:P18,P19)),"",DD(P19))</f>
        <v/>
      </c>
      <c r="R19" s="82"/>
      <c r="S19" s="6"/>
    </row>
    <row r="20" spans="1:24" s="2" customFormat="1" ht="20.25" customHeight="1" thickTop="1" x14ac:dyDescent="0.2">
      <c r="A20" s="77" t="s">
        <v>10</v>
      </c>
      <c r="B20" s="78"/>
      <c r="C20" s="78"/>
      <c r="D20" s="79"/>
      <c r="E20" s="27" t="str">
        <f>IF(SUM(E10:E19)=0,"",SUM(E10:E19))</f>
        <v/>
      </c>
      <c r="F20" s="11" t="s">
        <v>12</v>
      </c>
      <c r="G20" s="10"/>
      <c r="I20" s="52" t="s">
        <v>10</v>
      </c>
      <c r="J20" s="53"/>
      <c r="K20" s="27" t="str">
        <f>IF(SUM(K10:K19)=0,"",SUM(K10:K19))</f>
        <v/>
      </c>
      <c r="L20" s="11" t="s">
        <v>12</v>
      </c>
      <c r="M20" s="12"/>
      <c r="O20" s="52" t="s">
        <v>10</v>
      </c>
      <c r="P20" s="53"/>
      <c r="Q20" s="27" t="str">
        <f>IF(SUM(Q10:Q19)=0,"",SUM(Q10:Q19))</f>
        <v/>
      </c>
      <c r="R20" s="11" t="s">
        <v>12</v>
      </c>
      <c r="S20" s="12"/>
    </row>
    <row r="21" spans="1:24" s="2" customFormat="1" ht="20.25" customHeight="1" thickBot="1" x14ac:dyDescent="0.25">
      <c r="A21" s="57" t="s">
        <v>17</v>
      </c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9"/>
    </row>
    <row r="22" spans="1:24" ht="24" customHeight="1" x14ac:dyDescent="0.2">
      <c r="A22" s="47"/>
      <c r="B22" s="47"/>
      <c r="C22" s="47"/>
      <c r="D22" s="47"/>
      <c r="E22" s="47"/>
      <c r="F22" s="47"/>
      <c r="G22" s="47"/>
      <c r="H22" s="47"/>
      <c r="I22" s="54" t="s">
        <v>27</v>
      </c>
      <c r="J22" s="55"/>
      <c r="K22" s="55"/>
      <c r="L22" s="55"/>
      <c r="M22" s="56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1"/>
    </row>
    <row r="23" spans="1:24" ht="16" customHeight="1" thickBot="1" x14ac:dyDescent="0.25">
      <c r="A23" s="46"/>
      <c r="B23" s="47"/>
      <c r="C23" s="47"/>
      <c r="D23" s="47"/>
      <c r="E23" s="47"/>
      <c r="F23" s="47"/>
      <c r="G23" s="47"/>
      <c r="H23" s="47"/>
      <c r="I23" s="45" t="str">
        <f>IF(J23&lt;&gt;"","r","")</f>
        <v/>
      </c>
      <c r="J23" s="74" t="str">
        <f>IF(OR($O$3="L5-Novice 16U",$O$3="L5-Novice 17+",$O$3="L5"),"1 double salto",IF(OR($O$3="L6-Espoir 17U",$O$3="L6-Espoir 18+"),"1 double salto with &gt;= 360˚ twist",IF($O$3="Junior","811o or 811&lt;","")))</f>
        <v/>
      </c>
      <c r="K23" s="74"/>
      <c r="L23" s="74"/>
      <c r="M23" s="75"/>
      <c r="N23" s="47"/>
      <c r="O23" s="48"/>
      <c r="P23" s="47"/>
      <c r="Q23" s="47"/>
      <c r="R23" s="47"/>
      <c r="S23" s="47"/>
      <c r="T23" s="47"/>
      <c r="U23" s="47"/>
      <c r="V23" s="47"/>
      <c r="W23" s="47"/>
      <c r="X23" s="41"/>
    </row>
    <row r="24" spans="1:24" x14ac:dyDescent="0.2">
      <c r="A24" s="50"/>
      <c r="B24" s="50"/>
      <c r="C24" s="50"/>
      <c r="D24" s="50"/>
      <c r="E24" s="50"/>
      <c r="F24" s="50"/>
      <c r="G24" s="50"/>
      <c r="H24" s="47"/>
      <c r="I24" s="54" t="s">
        <v>28</v>
      </c>
      <c r="J24" s="55"/>
      <c r="K24" s="55"/>
      <c r="L24" s="55"/>
      <c r="M24" s="56"/>
      <c r="N24" s="47"/>
      <c r="O24" s="47"/>
      <c r="P24" s="47"/>
      <c r="Q24" s="47"/>
      <c r="R24" s="47"/>
      <c r="S24" s="47"/>
    </row>
    <row r="25" spans="1:24" ht="16" thickBot="1" x14ac:dyDescent="0.25">
      <c r="A25" s="46"/>
      <c r="B25" s="47"/>
      <c r="C25" s="47"/>
      <c r="D25" s="47"/>
      <c r="E25" s="47"/>
      <c r="F25" s="47"/>
      <c r="G25" s="47"/>
      <c r="H25" s="47"/>
      <c r="I25" s="45" t="str">
        <f>IF(J25&lt;&gt;"","r","")</f>
        <v/>
      </c>
      <c r="J25" s="74" t="str">
        <f>IF(OR($O$3="L5-Novice 16U",$O$3="L5-Novice 17+"),"1 double salto with &gt;= 360˚ twist",IF(OR($O$3="L6-Espoir 17U",$O$3="L6-Espoir 18+"),"811o or 811&lt;",IF($O$3="Junior","821&lt; or 831&lt;","")))</f>
        <v/>
      </c>
      <c r="K25" s="74"/>
      <c r="L25" s="74"/>
      <c r="M25" s="75"/>
      <c r="N25" s="47"/>
      <c r="O25" s="46"/>
      <c r="P25" s="47"/>
      <c r="Q25" s="47"/>
      <c r="R25" s="47"/>
      <c r="S25" s="47"/>
    </row>
  </sheetData>
  <sheetProtection sheet="1" objects="1" scenarios="1"/>
  <mergeCells count="29">
    <mergeCell ref="J25:M25"/>
    <mergeCell ref="J23:M23"/>
    <mergeCell ref="I24:M24"/>
    <mergeCell ref="A1:S1"/>
    <mergeCell ref="A20:D20"/>
    <mergeCell ref="F10:F19"/>
    <mergeCell ref="L10:L19"/>
    <mergeCell ref="R10:R19"/>
    <mergeCell ref="O8:Q8"/>
    <mergeCell ref="R8:S8"/>
    <mergeCell ref="I9:J9"/>
    <mergeCell ref="O9:P9"/>
    <mergeCell ref="I6:M7"/>
    <mergeCell ref="O6:S7"/>
    <mergeCell ref="A8:E8"/>
    <mergeCell ref="G3:J3"/>
    <mergeCell ref="L3:M3"/>
    <mergeCell ref="O3:P3"/>
    <mergeCell ref="F8:G8"/>
    <mergeCell ref="C9:D9"/>
    <mergeCell ref="B3:E3"/>
    <mergeCell ref="A6:G6"/>
    <mergeCell ref="A7:G7"/>
    <mergeCell ref="O20:P20"/>
    <mergeCell ref="I20:J20"/>
    <mergeCell ref="I22:M22"/>
    <mergeCell ref="A21:S21"/>
    <mergeCell ref="I8:K8"/>
    <mergeCell ref="L8:M8"/>
  </mergeCells>
  <conditionalFormatting sqref="A6:G20">
    <cfRule type="expression" dxfId="1" priority="2">
      <formula>IF($O$3="L5",1,0)</formula>
    </cfRule>
  </conditionalFormatting>
  <conditionalFormatting sqref="I24:M25">
    <cfRule type="expression" dxfId="0" priority="1">
      <formula>IF(OR($O$3="Senior",$O$3="L5"),1,0)</formula>
    </cfRule>
  </conditionalFormatting>
  <dataValidations count="2">
    <dataValidation type="list" allowBlank="1" showInputMessage="1" showErrorMessage="1" sqref="O3:P3" xr:uid="{00000000-0002-0000-0000-000000000000}">
      <formula1>"Choose:,Individual:,L5-Novice 16U, L5-Novice 17+, L6-Espoir 17U, L6-Espoir 18+, Junior, Senior,Synchro:,L5,Senior"</formula1>
    </dataValidation>
    <dataValidation type="list" allowBlank="1" showInputMessage="1" showErrorMessage="1" sqref="L3" xr:uid="{00000000-0002-0000-0000-000001000000}">
      <formula1>"Choose:,Individual Women/Femmes,Individual Men/Hommes,Synchro Women/Femmes,Synchro Men/Hommes"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 xml:space="preserve">&amp;R2018 version          
            </oddFooter>
  </headerFooter>
  <ignoredErrors>
    <ignoredError sqref="O10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DD TRA SYN</vt:lpstr>
      <vt:lpstr>'DD TRA SYN'!Print_Area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 Lavoie</dc:creator>
  <cp:lastModifiedBy>Trevor Stirling</cp:lastModifiedBy>
  <cp:lastPrinted>2018-06-01T14:39:08Z</cp:lastPrinted>
  <dcterms:created xsi:type="dcterms:W3CDTF">2006-09-12T15:06:44Z</dcterms:created>
  <dcterms:modified xsi:type="dcterms:W3CDTF">2018-06-26T16:44:23Z</dcterms:modified>
</cp:coreProperties>
</file>