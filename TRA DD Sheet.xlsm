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EEBFF0EC-C8D1-AC45-ABA4-86CAE0E4FB40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SYN'!$A$1:$U$28</definedName>
    <definedName name="SYNM">'DD TRA SYN'!$AH$3:$AH$9</definedName>
    <definedName name="SYNW">'DD TRA SYN'!$AG$3:$AG$9</definedName>
    <definedName name="TRAM">'DD TRA SYN'!$AF$3:$AF$16</definedName>
    <definedName name="TRAW">'DD TRA SYN'!$AE$3:$AE$21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3" i="1" l="1"/>
  <c r="D25" i="1"/>
  <c r="D24" i="1"/>
  <c r="D23" i="1"/>
  <c r="K12" i="1" a="1"/>
  <c r="K12" i="1"/>
  <c r="K13" i="1" a="1"/>
  <c r="K13" i="1"/>
  <c r="K14" i="1" a="1"/>
  <c r="K14" i="1"/>
  <c r="K15" i="1" a="1"/>
  <c r="K15" i="1"/>
  <c r="K16" i="1" a="1"/>
  <c r="K16" i="1"/>
  <c r="K17" i="1" a="1"/>
  <c r="K17" i="1"/>
  <c r="K18" i="1" a="1"/>
  <c r="K18" i="1"/>
  <c r="K19" i="1" a="1"/>
  <c r="K19" i="1"/>
  <c r="K11" i="1" a="1"/>
  <c r="K11" i="1"/>
  <c r="K10" i="1" a="1"/>
  <c r="K10" i="1"/>
  <c r="E10" i="1" a="1"/>
  <c r="E10" i="1"/>
  <c r="E11" i="1" a="1"/>
  <c r="E11" i="1"/>
  <c r="E12" i="1" a="1"/>
  <c r="E12" i="1"/>
  <c r="E13" i="1" a="1"/>
  <c r="E13" i="1"/>
  <c r="E14" i="1" a="1"/>
  <c r="E14" i="1"/>
  <c r="E15" i="1" a="1"/>
  <c r="E15" i="1"/>
  <c r="E16" i="1" a="1"/>
  <c r="E16" i="1"/>
  <c r="E17" i="1" a="1"/>
  <c r="E17" i="1"/>
  <c r="E18" i="1" a="1"/>
  <c r="E18" i="1"/>
  <c r="E19" i="1" a="1"/>
  <c r="E19" i="1"/>
  <c r="J28" i="1" a="1"/>
  <c r="J28" i="1"/>
  <c r="L28" i="1"/>
  <c r="P28" i="1" a="1"/>
  <c r="P28" i="1"/>
  <c r="K20" i="1"/>
  <c r="T3" i="1"/>
  <c r="P25" i="1"/>
  <c r="R3" i="1"/>
  <c r="P23" i="1"/>
  <c r="J25" i="1"/>
  <c r="D28" i="1"/>
  <c r="D27" i="1"/>
  <c r="D26" i="1"/>
  <c r="X10" i="1" a="1"/>
  <c r="X10" i="1"/>
  <c r="X11" i="1" a="1"/>
  <c r="X11" i="1"/>
  <c r="X12" i="1" a="1"/>
  <c r="X12" i="1"/>
  <c r="X13" i="1" a="1"/>
  <c r="X13" i="1"/>
  <c r="X14" i="1" a="1"/>
  <c r="X14" i="1"/>
  <c r="X15" i="1" a="1"/>
  <c r="X15" i="1"/>
  <c r="X16" i="1" a="1"/>
  <c r="X16" i="1"/>
  <c r="X17" i="1" a="1"/>
  <c r="X17" i="1"/>
  <c r="X18" i="1" a="1"/>
  <c r="X18" i="1"/>
  <c r="X19" i="1" a="1"/>
  <c r="X19" i="1"/>
  <c r="W11" i="1" a="1"/>
  <c r="W11" i="1"/>
  <c r="W12" i="1" a="1"/>
  <c r="W12" i="1"/>
  <c r="W13" i="1" a="1"/>
  <c r="W13" i="1"/>
  <c r="W14" i="1" a="1"/>
  <c r="W14" i="1"/>
  <c r="W15" i="1" a="1"/>
  <c r="W15" i="1"/>
  <c r="W16" i="1" a="1"/>
  <c r="W16" i="1"/>
  <c r="W17" i="1" a="1"/>
  <c r="W17" i="1"/>
  <c r="W18" i="1" a="1"/>
  <c r="W18" i="1"/>
  <c r="W19" i="1" a="1"/>
  <c r="W19" i="1"/>
  <c r="W10" i="1" a="1"/>
  <c r="W10" i="1"/>
  <c r="V11" i="1" a="1"/>
  <c r="V11" i="1"/>
  <c r="V12" i="1" a="1"/>
  <c r="V12" i="1"/>
  <c r="V13" i="1" a="1"/>
  <c r="V13" i="1"/>
  <c r="V14" i="1" a="1"/>
  <c r="V14" i="1"/>
  <c r="V15" i="1" a="1"/>
  <c r="V15" i="1"/>
  <c r="V16" i="1" a="1"/>
  <c r="V16" i="1"/>
  <c r="V17" i="1" a="1"/>
  <c r="V17" i="1"/>
  <c r="V18" i="1" a="1"/>
  <c r="V18" i="1"/>
  <c r="V19" i="1" a="1"/>
  <c r="V19" i="1"/>
  <c r="V10" i="1" a="1"/>
  <c r="V10" i="1"/>
  <c r="C28" i="1"/>
  <c r="C27" i="1"/>
  <c r="C26" i="1"/>
  <c r="C24" i="1"/>
  <c r="E20" i="1"/>
  <c r="Q10" i="1" a="1"/>
  <c r="Q10" i="1"/>
  <c r="Q11" i="1" a="1"/>
  <c r="Q11" i="1"/>
  <c r="Q12" i="1" a="1"/>
  <c r="Q13" i="1" a="1"/>
  <c r="Q14" i="1" a="1"/>
  <c r="Q15" i="1" a="1"/>
  <c r="Q16" i="1" a="1"/>
  <c r="Q17" i="1" a="1"/>
  <c r="Q18" i="1" a="1"/>
  <c r="Q19" i="1" a="1"/>
  <c r="Q12" i="1"/>
  <c r="Q13" i="1"/>
  <c r="Q14" i="1"/>
  <c r="Q15" i="1"/>
  <c r="Q16" i="1"/>
  <c r="Q17" i="1"/>
  <c r="Q18" i="1"/>
  <c r="Q19" i="1"/>
  <c r="Q20" i="1"/>
  <c r="I25" i="1"/>
  <c r="I23" i="1"/>
  <c r="C25" i="1"/>
  <c r="C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<sst xmlns="http://schemas.openxmlformats.org/spreadsheetml/2006/main" count="71" uniqueCount="34">
  <si>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</si>
  <si>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</si>
  <si>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</si>
  <si>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</si>
  <si>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</si>
  <si>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</si>
  <si>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</si>
  <si>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</si>
  <si>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</si>
  <si>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</si>
  <si>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</si>
  <si>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</si>
  <si>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</si>
  <si>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</si>
  <si>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</si>
  <si>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</si>
  <si>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</si>
  <si>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</si>
  <si>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</si>
  <si>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</si>
  <si>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</si>
  <si>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</si>
  <si>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</si>
  <si>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</si>
  <si>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</si>
  <si>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</si>
  <si>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</si>
  <si>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</si>
  <si>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Event/Epreuve</t>
  </si>
  <si>
    <t>Mobility Element:</t>
  </si>
  <si>
    <t>Min DD</t>
  </si>
  <si>
    <t>***Note: If using front and back skills with the same FIG code, use a period in front of front skills. For example, for front pike use .4-&lt;</t>
  </si>
  <si>
    <t>Choose:</t>
  </si>
  <si>
    <t>10 DD Skills for L7 and  Senior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</si>
</sst>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1" xfId="0" applyFont="1" applyBorder="1"/>
    <xf numFmtId="0" fontId="0" fillId="0" borderId="7" xfId="0" applyBorder="1"/>
    <xf numFmtId="0" fontId="0" fillId="0" borderId="5" xfId="0" applyBorder="1"/>
    <xf numFmtId="0" fontId="0" fillId="0" borderId="10" xfId="0" applyBorder="1"/>
    <xf numFmtId="0" fontId="0" fillId="0" borderId="20" xfId="0" applyBorder="1"/>
    <xf numFmtId="0" fontId="0" fillId="0" borderId="21" xfId="0" applyBorder="1"/>
    <xf numFmtId="0" fontId="0" fillId="0" borderId="23" xfId="0" applyBorder="1"/>
    <xf numFmtId="0" fontId="0" fillId="0" borderId="16" xfId="0" applyBorder="1"/>
    <xf numFmtId="0" fontId="0" fillId="0" borderId="25" xfId="0" applyBorder="1"/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/>
    <xf numFmtId="164" fontId="0" fillId="2" borderId="12" xfId="0" applyNumberFormat="1" applyFill="1" applyBorder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8" fillId="0" borderId="16" xfId="0" applyFont="1" applyBorder="1"/>
    <xf numFmtId="0" fontId="8" fillId="0" borderId="0" xfId="0" applyFont="1"/>
    <xf numFmtId="0" fontId="7" fillId="0" borderId="25" xfId="0" applyFont="1" applyBorder="1"/>
    <xf numFmtId="0" fontId="0" fillId="0" borderId="0" xfId="0" applyAlignment="1">
      <alignment horizontal="center"/>
    </xf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49" fontId="0" fillId="2" borderId="11" xfId="0" applyNumberFormat="1" applyFill="1" applyBorder="1" applyProtection="1">
      <protection locked="0"/>
    </xf>
    <xf numFmtId="0" fontId="8" fillId="0" borderId="23" xfId="0" applyFont="1" applyBorder="1"/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22" xfId="0" applyFont="1" applyBorder="1"/>
    <xf numFmtId="0" fontId="11" fillId="0" borderId="24" xfId="0" applyFont="1" applyBorder="1"/>
    <xf numFmtId="0" fontId="11" fillId="0" borderId="21" xfId="0" applyFont="1" applyBorder="1"/>
    <xf numFmtId="0" fontId="11" fillId="0" borderId="25" xfId="0" applyFont="1" applyBorder="1"/>
    <xf numFmtId="0" fontId="11" fillId="0" borderId="26" xfId="0" applyFont="1" applyBorder="1"/>
    <xf numFmtId="164" fontId="1" fillId="0" borderId="43" xfId="0" applyNumberFormat="1" applyFont="1" applyBorder="1" applyAlignment="1">
      <alignment wrapText="1"/>
    </xf>
    <xf numFmtId="0" fontId="1" fillId="0" borderId="38" xfId="0" applyFont="1" applyBorder="1" applyAlignment="1">
      <alignment horizontal="right"/>
    </xf>
    <xf numFmtId="0" fontId="1" fillId="0" borderId="43" xfId="0" applyFont="1" applyBorder="1"/>
    <xf numFmtId="0" fontId="1" fillId="0" borderId="46" xfId="0" applyFont="1" applyBorder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164" fontId="9" fillId="2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1" fillId="0" borderId="50" xfId="0" applyNumberFormat="1" applyFont="1" applyBorder="1" applyAlignment="1">
      <alignment wrapText="1"/>
    </xf>
    <xf numFmtId="164" fontId="0" fillId="2" borderId="43" xfId="0" applyNumberFormat="1" applyFill="1" applyBorder="1"/>
    <xf numFmtId="0" fontId="5" fillId="0" borderId="25" xfId="0" applyFont="1" applyBorder="1" applyAlignment="1">
      <alignment horizontal="center"/>
    </xf>
    <xf numFmtId="0" fontId="9" fillId="2" borderId="0" xfId="0" applyFont="1" applyFill="1" applyAlignment="1" applyProtection="1">
      <alignment horizontal="center" vertical="center"/>
      <protection locked="0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" fillId="3" borderId="49" xfId="0" applyFont="1" applyFill="1" applyBorder="1" applyAlignment="1">
      <alignment horizontal="center"/>
    </xf>
    <xf numFmtId="0" fontId="9" fillId="2" borderId="0" xfId="0" applyFont="1" applyFill="1" applyAlignment="1" applyProtection="1">
      <alignment horizontal="center" vertical="center" wrapText="1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44" xfId="0" applyFont="1" applyBorder="1" applyAlignment="1">
      <alignment horizontal="right"/>
    </xf>
    <xf numFmtId="0" fontId="1" fillId="0" borderId="45" xfId="0" applyFont="1" applyBorder="1" applyAlignment="1">
      <alignment horizontal="right"/>
    </xf>
    <xf numFmtId="0" fontId="1" fillId="0" borderId="36" xfId="0" applyFont="1" applyBorder="1" applyAlignment="1">
      <alignment horizontal="right"/>
    </xf>
    <xf numFmtId="0" fontId="1" fillId="0" borderId="41" xfId="0" applyFont="1" applyBorder="1" applyAlignment="1">
      <alignment horizontal="right"/>
    </xf>
    <xf numFmtId="0" fontId="1" fillId="0" borderId="37" xfId="0" applyFont="1" applyBorder="1" applyAlignment="1">
      <alignment horizontal="right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4" xfId="0" applyBorder="1" applyAlignment="1">
      <alignment horizontal="left"/>
    </xf>
    <xf numFmtId="0" fontId="1" fillId="0" borderId="2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18" xfId="0" applyFont="1" applyBorder="1" applyAlignment="1">
      <alignment horizontal="right"/>
    </xf>
    <xf numFmtId="0" fontId="1" fillId="0" borderId="38" xfId="0" applyFont="1" applyBorder="1" applyAlignment="1">
      <alignment horizontal="right"/>
    </xf>
    <xf numFmtId="0" fontId="1" fillId="0" borderId="42" xfId="0" applyFont="1" applyBorder="1" applyAlignment="1">
      <alignment horizontal="right"/>
    </xf>
  </cellXfs>
  <cellStyles count="1">
    <cellStyle name="Normal" xfId="0" builtinId="0"/>
  </cellStyles>
  <dxfs count="17">
    <dxf>
      <fill>
        <patternFill patternType="lightVertical">
          <bgColor theme="5" tint="0.59996337778862885"/>
        </patternFill>
      </fill>
    </dxf>
    <dxf>
      <font>
        <color theme="0" tint="-0.499984740745262"/>
      </font>
      <fill>
        <patternFill patternType="solid">
          <bgColor theme="0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</xdr:row>
          <xdr:rowOff>38100</xdr:rowOff>
        </xdr:from>
        <xdr:to>
          <xdr:col>23</xdr:col>
          <xdr:colOff>711200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L39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2" max="22" width="2.33203125" customWidth="1"/>
    <col min="23" max="23" width="3.6640625" customWidth="1"/>
    <col min="24" max="24" width="9.6640625" customWidth="1"/>
    <col min="25" max="25" width="5.33203125" customWidth="1"/>
    <col min="26" max="26" width="6.83203125" customWidth="1"/>
    <col min="27" max="27" width="3.33203125" customWidth="1"/>
    <col min="28" max="28" width="6.83203125" customWidth="1"/>
    <col min="29" max="29" width="5.33203125" customWidth="1"/>
    <col min="30" max="35" width="11.5" style="41"/>
  </cols>
  <sheetData>
    <row r="1" spans="1:38" ht="22" thickBot="1" x14ac:dyDescent="0.3">
      <c r="A1" s="60" t="s">
        <v>19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41"/>
      <c r="W1" s="41"/>
      <c r="X1" s="41"/>
      <c r="Y1" s="41"/>
      <c r="Z1" s="41"/>
      <c r="AA1" s="41"/>
      <c r="AB1" s="41"/>
      <c r="AC1" s="41"/>
      <c r="AE1"/>
      <c r="AF1"/>
      <c r="AG1"/>
      <c r="AH1"/>
      <c r="AI1"/>
    </row>
    <row r="2" spans="1:38" ht="19" customHeight="1" x14ac:dyDescent="0.2">
      <c r="A2" s="14"/>
      <c r="B2" s="15" t="s">
        <v>21</v>
      </c>
      <c r="C2" s="15"/>
      <c r="D2" s="15"/>
      <c r="E2" s="15"/>
      <c r="F2" s="15" t="s">
        <v>22</v>
      </c>
      <c r="G2" s="15"/>
      <c r="H2" s="15"/>
      <c r="I2" s="15"/>
      <c r="J2" s="15" t="s">
        <v>28</v>
      </c>
      <c r="K2" s="15"/>
      <c r="L2" s="15"/>
      <c r="M2" s="15"/>
      <c r="N2" s="15" t="s">
        <v>23</v>
      </c>
      <c r="O2" s="15"/>
      <c r="P2" s="47"/>
      <c r="Q2" s="47"/>
      <c r="R2" s="15" t="s">
        <v>30</v>
      </c>
      <c r="S2" s="47"/>
      <c r="T2" s="15" t="s">
        <v>24</v>
      </c>
      <c r="U2" s="45"/>
      <c r="V2" s="41"/>
      <c r="W2" s="41"/>
      <c r="X2" s="41"/>
      <c r="Y2" s="41"/>
      <c r="Z2" s="41"/>
      <c r="AA2" s="41"/>
      <c r="AB2" s="41"/>
      <c r="AC2" s="41"/>
      <c r="AE2"/>
      <c r="AF2"/>
      <c r="AG2"/>
      <c r="AH2"/>
      <c r="AI2"/>
    </row>
    <row r="3" spans="1:38" ht="19" customHeight="1" x14ac:dyDescent="0.2">
      <c r="A3" s="16"/>
      <c r="B3" s="67"/>
      <c r="C3" s="67"/>
      <c r="D3" s="67"/>
      <c r="E3" s="55"/>
      <c r="F3" s="61"/>
      <c r="G3" s="61"/>
      <c r="H3" s="61"/>
      <c r="I3" s="55"/>
      <c r="J3" s="61" t="s">
        <v>32</v>
      </c>
      <c r="K3" s="61"/>
      <c r="L3" s="61"/>
      <c r="M3" s="55"/>
      <c r="N3" s="61" t="s">
        <v>32</v>
      </c>
      <c r="O3" s="61"/>
      <c r="P3" s="61"/>
      <c r="Q3" s="44"/>
      <c r="R3" s="56" t="str">
        <f>MINDD(J3,LEFT(N3,2))</f>
        <v/>
      </c>
      <c r="S3" s="57"/>
      <c r="T3" s="56" t="str">
        <f>MAXDD(J3,LEFT(N3,2))</f>
        <v/>
      </c>
      <c r="U3" s="46"/>
      <c r="V3" s="41"/>
      <c r="W3" s="41"/>
      <c r="X3" s="41"/>
      <c r="Y3" s="41"/>
      <c r="Z3" s="41"/>
      <c r="AA3" s="41"/>
      <c r="AB3" s="41"/>
      <c r="AC3" s="41"/>
      <c r="AE3"/>
      <c r="AF3"/>
      <c r="AG3"/>
      <c r="AH3"/>
      <c r="AI3"/>
    </row>
    <row r="4" spans="1:38" ht="18.75" customHeight="1" thickBot="1" x14ac:dyDescent="0.25">
      <c r="A4" s="17"/>
      <c r="B4" s="18"/>
      <c r="C4" s="18"/>
      <c r="D4" s="18"/>
      <c r="E4" s="34"/>
      <c r="F4" s="34"/>
      <c r="G4" s="18"/>
      <c r="H4" s="18"/>
      <c r="I4" s="18"/>
      <c r="J4" s="18"/>
      <c r="K4" s="18"/>
      <c r="L4" s="18"/>
      <c r="M4" s="18"/>
      <c r="N4" s="34"/>
      <c r="O4" s="18"/>
      <c r="P4" s="48"/>
      <c r="Q4" s="48"/>
      <c r="R4" s="48"/>
      <c r="S4" s="48"/>
      <c r="T4" s="48"/>
      <c r="U4" s="49"/>
      <c r="V4" s="41"/>
      <c r="W4" s="41"/>
      <c r="X4" s="41"/>
      <c r="Y4" s="41"/>
      <c r="Z4" s="41"/>
      <c r="AA4" s="41"/>
      <c r="AB4" s="41"/>
      <c r="AC4" s="41"/>
      <c r="AE4"/>
      <c r="AF4"/>
      <c r="AG4"/>
      <c r="AH4"/>
      <c r="AI4"/>
    </row>
    <row r="5" spans="1:38" ht="8.25" customHeight="1" thickBot="1" x14ac:dyDescent="0.25">
      <c r="V5" s="41"/>
      <c r="W5" s="41"/>
      <c r="X5" s="41"/>
      <c r="Y5" s="41"/>
      <c r="Z5" s="41"/>
      <c r="AA5" s="41"/>
      <c r="AB5" s="41"/>
      <c r="AC5" s="41"/>
      <c r="AJ5" s="41"/>
      <c r="AK5" s="41"/>
      <c r="AL5" s="41"/>
    </row>
    <row r="6" spans="1:38" s="2" customFormat="1" ht="22" customHeight="1" x14ac:dyDescent="0.25">
      <c r="A6" s="99" t="s">
        <v>20</v>
      </c>
      <c r="B6" s="100"/>
      <c r="C6" s="100"/>
      <c r="D6" s="100"/>
      <c r="E6" s="100"/>
      <c r="F6" s="100"/>
      <c r="G6" s="101"/>
      <c r="I6" s="68" t="s">
        <v>18</v>
      </c>
      <c r="J6" s="69"/>
      <c r="K6" s="69"/>
      <c r="L6" s="69"/>
      <c r="M6" s="71"/>
      <c r="N6" s="3"/>
      <c r="O6" s="68" t="s">
        <v>14</v>
      </c>
      <c r="P6" s="69"/>
      <c r="Q6" s="69"/>
      <c r="R6" s="69"/>
      <c r="S6" s="70"/>
      <c r="T6" s="70"/>
      <c r="U6" s="71"/>
      <c r="V6" s="42"/>
      <c r="W6" s="41"/>
      <c r="X6" s="41"/>
      <c r="Y6" s="41"/>
      <c r="Z6" s="41"/>
      <c r="AA6" s="42"/>
      <c r="AB6" s="42"/>
      <c r="AC6" s="42"/>
      <c r="AD6" s="42"/>
    </row>
    <row r="7" spans="1:38" ht="17" customHeight="1" x14ac:dyDescent="0.25">
      <c r="A7" s="102" t="s">
        <v>33</v>
      </c>
      <c r="B7" s="103"/>
      <c r="C7" s="103"/>
      <c r="D7" s="103"/>
      <c r="E7" s="103"/>
      <c r="F7" s="103"/>
      <c r="G7" s="104"/>
      <c r="I7" s="72"/>
      <c r="J7" s="73"/>
      <c r="K7" s="73"/>
      <c r="L7" s="73"/>
      <c r="M7" s="75"/>
      <c r="N7" s="4"/>
      <c r="O7" s="72"/>
      <c r="P7" s="73"/>
      <c r="Q7" s="73"/>
      <c r="R7" s="73"/>
      <c r="S7" s="74"/>
      <c r="T7" s="74"/>
      <c r="U7" s="75"/>
      <c r="V7" s="41"/>
      <c r="W7" s="41"/>
      <c r="X7" s="41"/>
      <c r="Y7" s="41"/>
      <c r="Z7" s="41"/>
      <c r="AA7" s="41"/>
      <c r="AB7" s="41"/>
      <c r="AC7" s="41"/>
      <c r="AE7"/>
      <c r="AF7"/>
      <c r="AG7"/>
      <c r="AH7"/>
      <c r="AI7"/>
    </row>
    <row r="8" spans="1:38" s="7" customFormat="1" ht="20.25" customHeight="1" x14ac:dyDescent="0.2">
      <c r="A8" s="76" t="s">
        <v>15</v>
      </c>
      <c r="B8" s="78"/>
      <c r="C8" s="78"/>
      <c r="D8" s="77"/>
      <c r="E8" s="77"/>
      <c r="F8" s="78" t="s">
        <v>16</v>
      </c>
      <c r="G8" s="80"/>
      <c r="I8" s="76" t="s">
        <v>15</v>
      </c>
      <c r="J8" s="77"/>
      <c r="K8" s="77"/>
      <c r="L8" s="78" t="s">
        <v>16</v>
      </c>
      <c r="M8" s="80"/>
      <c r="O8" s="76" t="s">
        <v>15</v>
      </c>
      <c r="P8" s="77"/>
      <c r="Q8" s="77"/>
      <c r="R8" s="78" t="s">
        <v>16</v>
      </c>
      <c r="S8" s="79"/>
      <c r="T8" s="79"/>
      <c r="U8" s="80"/>
      <c r="V8" s="43"/>
      <c r="W8" s="41"/>
      <c r="X8" s="41"/>
      <c r="Y8" s="41"/>
      <c r="Z8" s="41"/>
      <c r="AA8" s="43"/>
      <c r="AB8" s="43"/>
      <c r="AC8" s="43"/>
      <c r="AD8" s="43"/>
    </row>
    <row r="9" spans="1:38" s="2" customFormat="1" ht="16" thickBot="1" x14ac:dyDescent="0.25">
      <c r="A9" s="22" t="s">
        <v>26</v>
      </c>
      <c r="B9" s="23" t="s">
        <v>27</v>
      </c>
      <c r="C9" s="88" t="s">
        <v>13</v>
      </c>
      <c r="D9" s="90"/>
      <c r="E9" s="10" t="s">
        <v>11</v>
      </c>
      <c r="F9" s="9"/>
      <c r="G9" s="8" t="s">
        <v>11</v>
      </c>
      <c r="I9" s="86" t="s">
        <v>13</v>
      </c>
      <c r="J9" s="87"/>
      <c r="K9" s="10" t="s">
        <v>11</v>
      </c>
      <c r="L9" s="9"/>
      <c r="M9" s="8" t="s">
        <v>11</v>
      </c>
      <c r="O9" s="86" t="s">
        <v>13</v>
      </c>
      <c r="P9" s="87"/>
      <c r="Q9" s="10" t="s">
        <v>11</v>
      </c>
      <c r="R9" s="88"/>
      <c r="S9" s="89"/>
      <c r="T9" s="90"/>
      <c r="U9" s="8" t="s">
        <v>11</v>
      </c>
      <c r="V9" s="42"/>
      <c r="W9" s="41"/>
      <c r="X9" s="44"/>
      <c r="Y9" s="41"/>
      <c r="Z9" s="41"/>
      <c r="AA9" s="42"/>
      <c r="AB9" s="42"/>
      <c r="AC9" s="42"/>
      <c r="AD9" s="42"/>
    </row>
    <row r="10" spans="1:38" ht="20.25" customHeight="1" thickTop="1" x14ac:dyDescent="0.25">
      <c r="A10" s="26"/>
      <c r="B10" s="27"/>
      <c r="C10" s="19" t="s">
        <v>0</v>
      </c>
      <c r="D10" s="36"/>
      <c r="E10" s="24" t="str" cm="1">
        <f t="array" ref="E10">IF(AND(D10&lt;&gt;"",B10&lt;&gt;"",OR(LEFT(N3,2)="L7",LEFT(N3,2)="Se")),DD(D10),"")</f>
        <v/>
      </c>
      <c r="F10" s="96"/>
      <c r="G10" s="5"/>
      <c r="I10" s="11" t="s">
        <v>0</v>
      </c>
      <c r="J10" s="36"/>
      <c r="K10" s="24" t="str" cm="1">
        <f t="array" ref="K10">IF(OR(J10="",AND(LEFT(N3,2)&lt;&gt;"Se",COUNTIFS(D$10:D$19,J10,E$10:E$19,"&gt;0"))),"",DD(J10))</f>
        <v/>
      </c>
      <c r="L10" s="96"/>
      <c r="M10" s="5"/>
      <c r="O10" s="11" t="s">
        <v>0</v>
      </c>
      <c r="P10" s="36"/>
      <c r="Q10" s="24" t="str" cm="1">
        <f t="array" ref="Q10">IF(P10="","",DD(P10))</f>
        <v/>
      </c>
      <c r="R10" s="105"/>
      <c r="S10" s="106"/>
      <c r="T10" s="107"/>
      <c r="U10" s="5"/>
      <c r="V10" s="40" t="str" cm="1">
        <f t="array" ref="V10">NUMFLIPS(D10)</f>
        <v/>
      </c>
      <c r="W10" s="40" t="str" cm="1">
        <f t="array" ref="W10">NUMFLIPS(J10)</f>
        <v/>
      </c>
      <c r="X10" s="40" t="str" cm="1">
        <f t="array" ref="X10">NUMFLIPS(P10)</f>
        <v/>
      </c>
      <c r="Y10" s="41"/>
      <c r="Z10" s="41"/>
      <c r="AA10" s="41"/>
      <c r="AB10" s="41"/>
      <c r="AC10" s="41"/>
      <c r="AE10"/>
      <c r="AF10"/>
      <c r="AG10"/>
      <c r="AH10"/>
      <c r="AI10"/>
    </row>
    <row r="11" spans="1:38" ht="20.25" customHeight="1" x14ac:dyDescent="0.25">
      <c r="A11" s="28"/>
      <c r="B11" s="29"/>
      <c r="C11" s="20" t="s">
        <v>1</v>
      </c>
      <c r="D11" s="37"/>
      <c r="E11" s="24" t="str" cm="1">
        <f t="array" ref="E11">IF(AND(B11&lt;&gt;"",D11&lt;&gt;"",COUNT(E$10:E10)&lt;IF(LEFT(N$3,2)="L7",2,IF(LEFT(N$3,2)="Se",10,0))),IF(COUNTIFS(D$10:D10,D11,E$10:E10,"&gt;0"),"",DD(D11)),"")</f>
        <v/>
      </c>
      <c r="F11" s="97"/>
      <c r="G11" s="1"/>
      <c r="I11" s="12" t="s">
        <v>1</v>
      </c>
      <c r="J11" s="37"/>
      <c r="K11" s="24" t="str" cm="1">
        <f t="array" ref="K11">IF(OR(J11="",AND(LEFT($N$3,2)&lt;&gt;"Se",COUNTIFS(D$10:D$19,J11,E$10:E$19,"&gt;0")),COUNTIFS(J$10:J10,J11)),"",DD(J11))</f>
        <v/>
      </c>
      <c r="L11" s="97"/>
      <c r="M11" s="1"/>
      <c r="O11" s="12" t="s">
        <v>1</v>
      </c>
      <c r="P11" s="37"/>
      <c r="Q11" s="24" t="str" cm="1">
        <f t="array" ref="Q11">IF(OR(P11="",COUNTIFS(P$10:P10,P11)),"",DD(P11))</f>
        <v/>
      </c>
      <c r="R11" s="108"/>
      <c r="S11" s="109"/>
      <c r="T11" s="110"/>
      <c r="U11" s="1"/>
      <c r="V11" s="40" t="str" cm="1">
        <f t="array" ref="V11">NUMFLIPS(D11)</f>
        <v/>
      </c>
      <c r="W11" s="40" t="str" cm="1">
        <f t="array" ref="W11">NUMFLIPS(J11)</f>
        <v/>
      </c>
      <c r="X11" s="40" t="str" cm="1">
        <f t="array" ref="X11">NUMFLIPS(P11)</f>
        <v/>
      </c>
      <c r="Y11" s="41"/>
      <c r="Z11" s="41"/>
      <c r="AA11" s="41"/>
      <c r="AB11" s="41"/>
      <c r="AC11" s="41"/>
      <c r="AE11"/>
      <c r="AF11"/>
      <c r="AG11"/>
      <c r="AH11"/>
      <c r="AI11"/>
    </row>
    <row r="12" spans="1:38" ht="20.25" customHeight="1" x14ac:dyDescent="0.25">
      <c r="A12" s="28"/>
      <c r="B12" s="29"/>
      <c r="C12" s="20" t="s">
        <v>2</v>
      </c>
      <c r="D12" s="37"/>
      <c r="E12" s="24" t="str" cm="1">
        <f t="array" ref="E12">IF(AND(B12&lt;&gt;"",D12&lt;&gt;"",COUNT(E$10:E11)&lt;IF(LEFT(N$3,2)="L7",2,IF(LEFT(N$3,2)="Se",10,0))),IF(COUNTIFS(D$10:D11,D12,E$10:E11,"&gt;0"),"",DD(D12)),"")</f>
        <v/>
      </c>
      <c r="F12" s="97"/>
      <c r="G12" s="1"/>
      <c r="I12" s="12" t="s">
        <v>2</v>
      </c>
      <c r="J12" s="37"/>
      <c r="K12" s="24" t="str" cm="1">
        <f t="array" ref="K12">IF(OR(J12="",AND(LEFT($N$3,2)&lt;&gt;"Se",COUNTIFS(D$10:D$19,J12,E$10:E$19,"&gt;0")),COUNTIFS(J$10:J11,J12)),"",DD(J12))</f>
        <v/>
      </c>
      <c r="L12" s="97"/>
      <c r="M12" s="1"/>
      <c r="O12" s="12" t="s">
        <v>2</v>
      </c>
      <c r="P12" s="37"/>
      <c r="Q12" s="24" t="str" cm="1">
        <f t="array" ref="Q12">IF(OR(P12="",COUNTIFS(P$10:P11,P12)),"",DD(P12))</f>
        <v/>
      </c>
      <c r="R12" s="108"/>
      <c r="S12" s="109"/>
      <c r="T12" s="110"/>
      <c r="U12" s="1"/>
      <c r="V12" s="40" t="str" cm="1">
        <f t="array" ref="V12">NUMFLIPS(D12)</f>
        <v/>
      </c>
      <c r="W12" s="40" t="str" cm="1">
        <f t="array" ref="W12">NUMFLIPS(J12)</f>
        <v/>
      </c>
      <c r="X12" s="40" t="str" cm="1">
        <f t="array" ref="X12">NUMFLIPS(P12)</f>
        <v/>
      </c>
      <c r="Y12" s="41"/>
      <c r="Z12" s="41"/>
      <c r="AA12" s="41"/>
      <c r="AB12" s="41"/>
      <c r="AC12" s="41"/>
      <c r="AE12"/>
      <c r="AF12"/>
      <c r="AG12"/>
      <c r="AH12"/>
      <c r="AI12"/>
    </row>
    <row r="13" spans="1:38" ht="20.25" customHeight="1" x14ac:dyDescent="0.25">
      <c r="A13" s="28"/>
      <c r="B13" s="29"/>
      <c r="C13" s="20" t="s">
        <v>3</v>
      </c>
      <c r="D13" s="37"/>
      <c r="E13" s="24" t="str" cm="1">
        <f t="array" ref="E13">IF(AND(B13&lt;&gt;"",D13&lt;&gt;"",COUNT(E$10:E12)&lt;IF(LEFT(N$3,2)="L7",2,IF(LEFT(N$3,2)="Se",10,0))),IF(COUNTIFS(D$10:D12,D13,E$10:E12,"&gt;0"),"",DD(D13)),"")</f>
        <v/>
      </c>
      <c r="F13" s="97"/>
      <c r="G13" s="1"/>
      <c r="I13" s="12" t="s">
        <v>3</v>
      </c>
      <c r="J13" s="37"/>
      <c r="K13" s="24" t="str" cm="1">
        <f t="array" ref="K13">IF(OR(J13="",AND(LEFT($N$3,2)&lt;&gt;"Se",COUNTIFS(D$10:D$19,J13,E$10:E$19,"&gt;0")),COUNTIFS(J$10:J12,J13)),"",DD(J13))</f>
        <v/>
      </c>
      <c r="L13" s="97"/>
      <c r="M13" s="1"/>
      <c r="O13" s="12" t="s">
        <v>3</v>
      </c>
      <c r="P13" s="37"/>
      <c r="Q13" s="24" t="str" cm="1">
        <f t="array" ref="Q13">IF(OR(P13="",COUNTIFS(P$10:P12,P13)),"",DD(P13))</f>
        <v/>
      </c>
      <c r="R13" s="108"/>
      <c r="S13" s="109"/>
      <c r="T13" s="110"/>
      <c r="U13" s="1"/>
      <c r="V13" s="40" t="str" cm="1">
        <f t="array" ref="V13">NUMFLIPS(D13)</f>
        <v/>
      </c>
      <c r="W13" s="40" t="str" cm="1">
        <f t="array" ref="W13">NUMFLIPS(J13)</f>
        <v/>
      </c>
      <c r="X13" s="40" t="str" cm="1">
        <f t="array" ref="X13">NUMFLIPS(P13)</f>
        <v/>
      </c>
      <c r="Y13" s="41"/>
      <c r="Z13" s="41"/>
      <c r="AA13" s="41"/>
      <c r="AB13" s="41"/>
      <c r="AC13" s="41"/>
      <c r="AE13"/>
      <c r="AF13"/>
      <c r="AG13"/>
      <c r="AH13"/>
      <c r="AI13"/>
    </row>
    <row r="14" spans="1:38" ht="20.25" customHeight="1" x14ac:dyDescent="0.25">
      <c r="A14" s="28"/>
      <c r="B14" s="29"/>
      <c r="C14" s="20" t="s">
        <v>4</v>
      </c>
      <c r="D14" s="37"/>
      <c r="E14" s="24" t="str" cm="1">
        <f t="array" ref="E14">IF(AND(B14&lt;&gt;"",D14&lt;&gt;"",COUNT(E$10:E13)&lt;IF(LEFT(N$3,2)="L7",2,IF(LEFT(N$3,2)="Se",10,0))),IF(COUNTIFS(D$10:D13,D14,E$10:E13,"&gt;0"),"",DD(D14)),"")</f>
        <v/>
      </c>
      <c r="F14" s="97"/>
      <c r="G14" s="1"/>
      <c r="I14" s="12" t="s">
        <v>4</v>
      </c>
      <c r="J14" s="37"/>
      <c r="K14" s="24" t="str" cm="1">
        <f t="array" ref="K14">IF(OR(J14="",AND(LEFT($N$3,2)&lt;&gt;"Se",COUNTIFS(D$10:D$19,J14,E$10:E$19,"&gt;0")),COUNTIFS(J$10:J13,J14)),"",DD(J14))</f>
        <v/>
      </c>
      <c r="L14" s="97"/>
      <c r="M14" s="1"/>
      <c r="O14" s="12" t="s">
        <v>4</v>
      </c>
      <c r="P14" s="37"/>
      <c r="Q14" s="24" t="str" cm="1">
        <f t="array" ref="Q14">IF(OR(P14="",COUNTIFS(P$10:P13,P14)),"",DD(P14))</f>
        <v/>
      </c>
      <c r="R14" s="108"/>
      <c r="S14" s="109"/>
      <c r="T14" s="110"/>
      <c r="U14" s="1"/>
      <c r="V14" s="40" t="str" cm="1">
        <f t="array" ref="V14">NUMFLIPS(D14)</f>
        <v/>
      </c>
      <c r="W14" s="40" t="str" cm="1">
        <f t="array" ref="W14">NUMFLIPS(J14)</f>
        <v/>
      </c>
      <c r="X14" s="40" t="str" cm="1">
        <f t="array" ref="X14">NUMFLIPS(P14)</f>
        <v/>
      </c>
      <c r="Y14" s="41"/>
      <c r="Z14" s="41"/>
      <c r="AA14" s="41"/>
      <c r="AB14" s="41"/>
      <c r="AC14" s="41"/>
      <c r="AE14"/>
      <c r="AF14"/>
      <c r="AG14"/>
      <c r="AH14"/>
      <c r="AI14"/>
    </row>
    <row r="15" spans="1:38" ht="20.25" customHeight="1" x14ac:dyDescent="0.25">
      <c r="A15" s="28"/>
      <c r="B15" s="29"/>
      <c r="C15" s="20" t="s">
        <v>5</v>
      </c>
      <c r="D15" s="37"/>
      <c r="E15" s="24" t="str" cm="1">
        <f t="array" ref="E15">IF(AND(B15&lt;&gt;"",D15&lt;&gt;"",COUNT(E$10:E14)&lt;IF(LEFT(N$3,2)="L7",2,IF(LEFT(N$3,2)="Se",10,0))),IF(COUNTIFS(D$10:D14,D15,E$10:E14,"&gt;0"),"",DD(D15)),"")</f>
        <v/>
      </c>
      <c r="F15" s="97"/>
      <c r="G15" s="1"/>
      <c r="I15" s="12" t="s">
        <v>5</v>
      </c>
      <c r="J15" s="37"/>
      <c r="K15" s="24" t="str" cm="1">
        <f t="array" ref="K15">IF(OR(J15="",AND(LEFT($N$3,2)&lt;&gt;"Se",COUNTIFS(D$10:D$19,J15,E$10:E$19,"&gt;0")),COUNTIFS(J$10:J14,J15)),"",DD(J15))</f>
        <v/>
      </c>
      <c r="L15" s="97"/>
      <c r="M15" s="1"/>
      <c r="O15" s="12" t="s">
        <v>5</v>
      </c>
      <c r="P15" s="37"/>
      <c r="Q15" s="24" t="str" cm="1">
        <f t="array" ref="Q15">IF(OR(P15="",COUNTIFS(P$10:P14,P15)),"",DD(P15))</f>
        <v/>
      </c>
      <c r="R15" s="108"/>
      <c r="S15" s="109"/>
      <c r="T15" s="110"/>
      <c r="U15" s="1"/>
      <c r="V15" s="40" t="str" cm="1">
        <f t="array" ref="V15">NUMFLIPS(D15)</f>
        <v/>
      </c>
      <c r="W15" s="40" t="str" cm="1">
        <f t="array" ref="W15">NUMFLIPS(J15)</f>
        <v/>
      </c>
      <c r="X15" s="40" t="str" cm="1">
        <f t="array" ref="X15">NUMFLIPS(P15)</f>
        <v/>
      </c>
      <c r="Y15" s="41"/>
      <c r="Z15" s="41"/>
      <c r="AA15" s="41"/>
      <c r="AB15" s="41"/>
      <c r="AC15" s="41"/>
      <c r="AE15"/>
      <c r="AF15"/>
      <c r="AG15"/>
      <c r="AH15"/>
      <c r="AI15"/>
    </row>
    <row r="16" spans="1:38" ht="20.25" customHeight="1" x14ac:dyDescent="0.25">
      <c r="A16" s="28"/>
      <c r="B16" s="29"/>
      <c r="C16" s="20" t="s">
        <v>6</v>
      </c>
      <c r="D16" s="37"/>
      <c r="E16" s="24" t="str" cm="1">
        <f t="array" ref="E16">IF(AND(B16&lt;&gt;"",D16&lt;&gt;"",COUNT(E$10:E15)&lt;IF(LEFT(N$3,2)="L7",2,IF(LEFT(N$3,2)="Se",10,0))),IF(COUNTIFS(D$10:D15,D16,E$10:E15,"&gt;0"),"",DD(D16)),"")</f>
        <v/>
      </c>
      <c r="F16" s="97"/>
      <c r="G16" s="1"/>
      <c r="I16" s="12" t="s">
        <v>6</v>
      </c>
      <c r="J16" s="37"/>
      <c r="K16" s="24" t="str" cm="1">
        <f t="array" ref="K16">IF(OR(J16="",AND(LEFT($N$3,2)&lt;&gt;"Se",COUNTIFS(D$10:D$19,J16,E$10:E$19,"&gt;0")),COUNTIFS(J$10:J15,J16)),"",DD(J16))</f>
        <v/>
      </c>
      <c r="L16" s="97"/>
      <c r="M16" s="1"/>
      <c r="O16" s="12" t="s">
        <v>6</v>
      </c>
      <c r="P16" s="37"/>
      <c r="Q16" s="24" t="str" cm="1">
        <f t="array" ref="Q16">IF(OR(P16="",COUNTIFS(P$10:P15,P16)),"",DD(P16))</f>
        <v/>
      </c>
      <c r="R16" s="108"/>
      <c r="S16" s="109"/>
      <c r="T16" s="110"/>
      <c r="U16" s="1"/>
      <c r="V16" s="40" t="str" cm="1">
        <f t="array" ref="V16">NUMFLIPS(D16)</f>
        <v/>
      </c>
      <c r="W16" s="40" t="str" cm="1">
        <f t="array" ref="W16">NUMFLIPS(J16)</f>
        <v/>
      </c>
      <c r="X16" s="40" t="str" cm="1">
        <f t="array" ref="X16">NUMFLIPS(P16)</f>
        <v/>
      </c>
      <c r="Y16" s="41"/>
      <c r="Z16" s="41"/>
      <c r="AA16" s="41"/>
      <c r="AB16" s="41"/>
      <c r="AC16" s="41"/>
      <c r="AE16"/>
      <c r="AF16"/>
      <c r="AG16"/>
      <c r="AH16"/>
      <c r="AI16"/>
    </row>
    <row r="17" spans="1:38" ht="20.25" customHeight="1" x14ac:dyDescent="0.25">
      <c r="A17" s="28"/>
      <c r="B17" s="29"/>
      <c r="C17" s="20" t="s">
        <v>7</v>
      </c>
      <c r="D17" s="37"/>
      <c r="E17" s="24" t="str" cm="1">
        <f t="array" ref="E17">IF(AND(B17&lt;&gt;"",D17&lt;&gt;"",COUNT(E$10:E16)&lt;IF(LEFT(N$3,2)="L7",2,IF(LEFT(N$3,2)="Se",10,0))),IF(COUNTIFS(D$10:D16,D17,E$10:E16,"&gt;0"),"",DD(D17)),"")</f>
        <v/>
      </c>
      <c r="F17" s="97"/>
      <c r="G17" s="1"/>
      <c r="I17" s="12" t="s">
        <v>7</v>
      </c>
      <c r="J17" s="37"/>
      <c r="K17" s="24" t="str" cm="1">
        <f t="array" ref="K17">IF(OR(J17="",AND(LEFT($N$3,2)&lt;&gt;"Se",COUNTIFS(D$10:D$19,J17,E$10:E$19,"&gt;0")),COUNTIFS(J$10:J16,J17)),"",DD(J17))</f>
        <v/>
      </c>
      <c r="L17" s="97"/>
      <c r="M17" s="1"/>
      <c r="O17" s="12" t="s">
        <v>7</v>
      </c>
      <c r="P17" s="37"/>
      <c r="Q17" s="24" t="str" cm="1">
        <f t="array" ref="Q17">IF(OR(P17="",COUNTIFS(P$10:P16,P17)),"",DD(P17))</f>
        <v/>
      </c>
      <c r="R17" s="108"/>
      <c r="S17" s="109"/>
      <c r="T17" s="110"/>
      <c r="U17" s="1"/>
      <c r="V17" s="40" t="str" cm="1">
        <f t="array" ref="V17">NUMFLIPS(D17)</f>
        <v/>
      </c>
      <c r="W17" s="40" t="str" cm="1">
        <f t="array" ref="W17">NUMFLIPS(J17)</f>
        <v/>
      </c>
      <c r="X17" s="40" t="str" cm="1">
        <f t="array" ref="X17">NUMFLIPS(P17)</f>
        <v/>
      </c>
      <c r="Y17" s="41"/>
      <c r="Z17" s="41"/>
      <c r="AA17" s="41"/>
      <c r="AB17" s="41"/>
      <c r="AC17" s="41"/>
      <c r="AE17"/>
      <c r="AF17"/>
      <c r="AG17"/>
      <c r="AH17"/>
      <c r="AI17"/>
    </row>
    <row r="18" spans="1:38" ht="20.25" customHeight="1" x14ac:dyDescent="0.25">
      <c r="A18" s="28"/>
      <c r="B18" s="29"/>
      <c r="C18" s="20" t="s">
        <v>8</v>
      </c>
      <c r="D18" s="37"/>
      <c r="E18" s="24" t="str" cm="1">
        <f t="array" ref="E18">IF(AND(B18&lt;&gt;"",D18&lt;&gt;"",COUNT(E$10:E17)&lt;IF(LEFT(N$3,2)="L7",2,IF(LEFT(N$3,2)="Se",10,0))),IF(COUNTIFS(D$10:D17,D18,E$10:E17,"&gt;0"),"",DD(D18)),"")</f>
        <v/>
      </c>
      <c r="F18" s="97"/>
      <c r="G18" s="1"/>
      <c r="I18" s="12" t="s">
        <v>8</v>
      </c>
      <c r="J18" s="37"/>
      <c r="K18" s="24" t="str" cm="1">
        <f t="array" ref="K18">IF(OR(J18="",AND(LEFT($N$3,2)&lt;&gt;"Se",COUNTIFS(D$10:D$19,J18,E$10:E$19,"&gt;0")),COUNTIFS(J$10:J17,J18)),"",DD(J18))</f>
        <v/>
      </c>
      <c r="L18" s="97"/>
      <c r="M18" s="1"/>
      <c r="O18" s="12" t="s">
        <v>8</v>
      </c>
      <c r="P18" s="37"/>
      <c r="Q18" s="24" t="str" cm="1">
        <f t="array" ref="Q18">IF(OR(P18="",COUNTIFS(P$10:P17,P18)),"",DD(P18))</f>
        <v/>
      </c>
      <c r="R18" s="108"/>
      <c r="S18" s="109"/>
      <c r="T18" s="110"/>
      <c r="U18" s="1"/>
      <c r="V18" s="40" t="str" cm="1">
        <f t="array" ref="V18">NUMFLIPS(D18)</f>
        <v/>
      </c>
      <c r="W18" s="40" t="str" cm="1">
        <f t="array" ref="W18">NUMFLIPS(J18)</f>
        <v/>
      </c>
      <c r="X18" s="40" t="str" cm="1">
        <f t="array" ref="X18">NUMFLIPS(P18)</f>
        <v/>
      </c>
      <c r="Y18" s="41"/>
      <c r="Z18" s="41"/>
      <c r="AA18" s="41"/>
      <c r="AB18" s="41"/>
      <c r="AC18" s="41"/>
      <c r="AE18"/>
      <c r="AF18"/>
      <c r="AG18"/>
      <c r="AH18"/>
      <c r="AI18"/>
    </row>
    <row r="19" spans="1:38" ht="20.25" customHeight="1" thickBot="1" x14ac:dyDescent="0.3">
      <c r="A19" s="30"/>
      <c r="B19" s="31"/>
      <c r="C19" s="21" t="s">
        <v>9</v>
      </c>
      <c r="D19" s="38"/>
      <c r="E19" s="24" t="str" cm="1">
        <f t="array" ref="E19">IF(AND(B19&lt;&gt;"",D19&lt;&gt;"",COUNT(E$10:E18)&lt;IF(LEFT(N$3,2)="L7",2,IF(LEFT(N$3,2)="Se",10,0))),IF(COUNTIFS(D$10:D18,D19,E$10:E18,"&gt;0"),"",DD(D19)),"")</f>
        <v/>
      </c>
      <c r="F19" s="98"/>
      <c r="G19" s="6"/>
      <c r="I19" s="13" t="s">
        <v>9</v>
      </c>
      <c r="J19" s="38"/>
      <c r="K19" s="59" t="str" cm="1">
        <f t="array" ref="K19">IF(OR(J19="",AND(LEFT($N$3,2)&lt;&gt;"Se",COUNTIFS(D$10:D$19,J19,E$10:E$19,"&gt;0")),COUNTIFS(J$10:J18,J19)),"",DD(J19))</f>
        <v/>
      </c>
      <c r="L19" s="98"/>
      <c r="M19" s="6"/>
      <c r="O19" s="13" t="s">
        <v>9</v>
      </c>
      <c r="P19" s="38"/>
      <c r="Q19" s="25" t="str" cm="1">
        <f t="array" ref="Q19">IF(OR(P19="",COUNTIFS(P$10:P18,P19)),"",DD(P19))</f>
        <v/>
      </c>
      <c r="R19" s="111"/>
      <c r="S19" s="112"/>
      <c r="T19" s="113"/>
      <c r="U19" s="6"/>
      <c r="V19" s="40" t="str" cm="1">
        <f t="array" ref="V19">NUMFLIPS(D19)</f>
        <v/>
      </c>
      <c r="W19" s="40" t="str" cm="1">
        <f t="array" ref="W19">NUMFLIPS(J19)</f>
        <v/>
      </c>
      <c r="X19" s="40" t="str" cm="1">
        <f t="array" ref="X19">NUMFLIPS(P19)</f>
        <v/>
      </c>
      <c r="Y19" s="41"/>
      <c r="Z19" s="41"/>
      <c r="AA19" s="41"/>
      <c r="AB19" s="41"/>
      <c r="AC19" s="41"/>
      <c r="AE19"/>
      <c r="AF19"/>
      <c r="AG19"/>
      <c r="AH19"/>
      <c r="AI19"/>
    </row>
    <row r="20" spans="1:38" s="2" customFormat="1" ht="20.25" customHeight="1" thickTop="1" thickBot="1" x14ac:dyDescent="0.25">
      <c r="A20" s="117" t="s">
        <v>10</v>
      </c>
      <c r="B20" s="118"/>
      <c r="C20" s="118"/>
      <c r="D20" s="119"/>
      <c r="E20" s="58" t="str">
        <f>IF(SUM(E10:E19)=0,"",SUM(E10:E19))</f>
        <v/>
      </c>
      <c r="F20" s="51" t="s">
        <v>12</v>
      </c>
      <c r="G20" s="52"/>
      <c r="I20" s="81" t="s">
        <v>10</v>
      </c>
      <c r="J20" s="82"/>
      <c r="K20" s="58" t="str">
        <f>IF(SUM(K10:K19)=0,"",SUM(K10:K19))</f>
        <v/>
      </c>
      <c r="L20" s="51" t="s">
        <v>12</v>
      </c>
      <c r="M20" s="53"/>
      <c r="O20" s="81" t="s">
        <v>10</v>
      </c>
      <c r="P20" s="82"/>
      <c r="Q20" s="50" t="str">
        <f>IF(SUM(Q10:Q19)=0,"",SUM(Q10:Q19))</f>
        <v/>
      </c>
      <c r="R20" s="83" t="s">
        <v>12</v>
      </c>
      <c r="S20" s="84"/>
      <c r="T20" s="85"/>
      <c r="U20" s="53"/>
      <c r="V20" s="41"/>
      <c r="W20" s="41"/>
      <c r="X20" s="41"/>
      <c r="Y20" s="41"/>
      <c r="Z20" s="41"/>
      <c r="AA20" s="42"/>
      <c r="AB20" s="42"/>
      <c r="AC20" s="42"/>
      <c r="AD20" s="42"/>
    </row>
    <row r="21" spans="1:38" s="2" customFormat="1" ht="20.25" customHeight="1" thickBot="1" x14ac:dyDescent="0.25">
      <c r="A21" s="64" t="s">
        <v>17</v>
      </c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6"/>
      <c r="V21" s="41"/>
      <c r="W21" s="41"/>
      <c r="X21" s="41"/>
      <c r="Y21" s="41"/>
      <c r="Z21" s="41"/>
      <c r="AA21" s="42"/>
      <c r="AB21" s="42"/>
      <c r="AC21" s="42"/>
      <c r="AD21" s="42"/>
    </row>
    <row r="22" spans="1:38" ht="24" customHeight="1" x14ac:dyDescent="0.2">
      <c r="C22" s="93" t="s">
        <v>25</v>
      </c>
      <c r="D22" s="94"/>
      <c r="E22" s="94"/>
      <c r="F22" s="94"/>
      <c r="G22" s="95"/>
      <c r="I22" s="93" t="s">
        <v>25</v>
      </c>
      <c r="J22" s="94"/>
      <c r="K22" s="94"/>
      <c r="L22" s="94"/>
      <c r="M22" s="95"/>
      <c r="V22" s="41"/>
      <c r="AJ22" s="41"/>
      <c r="AK22" s="41"/>
      <c r="AL22" s="41"/>
    </row>
    <row r="23" spans="1:38" ht="16" customHeight="1" thickBot="1" x14ac:dyDescent="0.25">
      <c r="A23" s="33"/>
      <c r="C23" s="39" t="str">
        <f>IF(D23&lt;&gt;"","r","")</f>
        <v/>
      </c>
      <c r="D23" s="91" t="str">
        <f>IF(AND(OR(LEFT(N3,2)="L5",LEFT(N3,2)="L6",LEFT(N3,2)="Ju"),LEFT(J3,3)="Ind"),"9 skills with at least 270˚ of rotation","")</f>
        <v/>
      </c>
      <c r="E23" s="91"/>
      <c r="F23" s="91"/>
      <c r="G23" s="92"/>
      <c r="I23" s="32" t="str">
        <f t="shared" ref="I23" si="0">IF(J23&lt;&gt;"","r","")</f>
        <v/>
      </c>
      <c r="J23" s="62" t="str">
        <f>IF(LEFT(J3,3)="Syn","",IF(LEFT(N3,2)="L5","One double",""))</f>
        <v/>
      </c>
      <c r="K23" s="62"/>
      <c r="L23" s="62"/>
      <c r="M23" s="63"/>
      <c r="O23" s="33"/>
      <c r="P23" s="2" t="str">
        <f>IF(OR(AND(K20&lt;&gt;"",K20&lt;R3),AND(Q20&lt;&gt;"",Q20&lt;R3)),"Under Min","")</f>
        <v/>
      </c>
      <c r="V23" s="41"/>
      <c r="W23" s="33"/>
      <c r="X23" s="2"/>
      <c r="AJ23" s="41"/>
      <c r="AK23" s="41"/>
      <c r="AL23" s="41"/>
    </row>
    <row r="24" spans="1:38" x14ac:dyDescent="0.2">
      <c r="A24" s="2"/>
      <c r="B24" s="2"/>
      <c r="C24" s="39" t="str">
        <f>IF(D24&lt;&gt;"","r","")</f>
        <v/>
      </c>
      <c r="D24" s="91" t="str">
        <f>IF(AND(OR(LEFT(N3,2)="L5",LEFT(N3,2)="L6",LEFT(N3,2)="Ju"),LEFT(J3,3)="Ind"),"1 element landing on the front or back","")</f>
        <v/>
      </c>
      <c r="E24" s="91"/>
      <c r="F24" s="91"/>
      <c r="G24" s="92"/>
      <c r="I24" s="114" t="s">
        <v>29</v>
      </c>
      <c r="J24" s="115"/>
      <c r="K24" s="115"/>
      <c r="L24" s="115"/>
      <c r="M24" s="116"/>
      <c r="V24" s="41"/>
      <c r="AJ24" s="41"/>
      <c r="AK24" s="41"/>
      <c r="AL24" s="41"/>
    </row>
    <row r="25" spans="1:38" ht="16" thickBot="1" x14ac:dyDescent="0.25">
      <c r="A25" s="33"/>
      <c r="C25" s="39" t="str">
        <f t="shared" ref="C25" si="1">IF(D25&lt;&gt;"","r","")</f>
        <v/>
      </c>
      <c r="D25" s="91" t="str">
        <f>IF(AND(OR(LEFT(N3,2)="L5",LEFT(N3,2)="L6",LEFT(N3,2)="Ju"),LEFT(J3,3)="Ind"),"1 element taking off from the front or back","")</f>
        <v/>
      </c>
      <c r="E25" s="91"/>
      <c r="F25" s="91"/>
      <c r="G25" s="92"/>
      <c r="I25" s="32" t="str">
        <f t="shared" ref="I25" si="2">IF(J25&lt;&gt;"","r","")</f>
        <v/>
      </c>
      <c r="J25" s="62" t="str">
        <f>IF(LEFT(J3,3)="Syn","",IF(OR(LEFT(N3,2)="L4"),"One double",""))</f>
        <v/>
      </c>
      <c r="K25" s="62"/>
      <c r="L25" s="62"/>
      <c r="M25" s="63"/>
      <c r="O25" s="33"/>
      <c r="P25" s="2" t="str">
        <f>IF(OR(AND(K20&lt;&gt;"",K20&gt;T3),AND(Q20&lt;&gt;"",Q20&gt;T3)),"Over Max","")</f>
        <v/>
      </c>
      <c r="V25" s="41"/>
      <c r="W25" s="33"/>
      <c r="X25" s="2"/>
      <c r="AJ25" s="41"/>
      <c r="AK25" s="41"/>
      <c r="AL25" s="41"/>
    </row>
    <row r="26" spans="1:38" x14ac:dyDescent="0.2">
      <c r="A26" s="33"/>
      <c r="C26" s="39" t="str">
        <f>IF(D26&lt;&gt;"","r","")</f>
        <v/>
      </c>
      <c r="D26" s="91" t="str">
        <f>IF(LEFT(J3,3)="Syn","",IF(LEFT(N3,2)="L5","42       (Back Full)",IF(OR(LEFT(N3,2)="L6",LEFT(N3,2)="Ju"),"1 double salto","")))</f>
        <v/>
      </c>
      <c r="E26" s="91"/>
      <c r="F26" s="91"/>
      <c r="G26" s="92"/>
      <c r="I26" s="33"/>
      <c r="J26" s="54"/>
      <c r="K26" s="54"/>
      <c r="L26" s="54"/>
      <c r="M26" s="54"/>
      <c r="O26" s="33"/>
      <c r="P26" s="2"/>
      <c r="V26" s="41"/>
      <c r="W26" s="33"/>
      <c r="X26" s="2"/>
      <c r="AJ26" s="41"/>
      <c r="AK26" s="41"/>
      <c r="AL26" s="41"/>
    </row>
    <row r="27" spans="1:38" x14ac:dyDescent="0.2">
      <c r="C27" s="39" t="str">
        <f>IF(D27&lt;&gt;"","r","")</f>
        <v/>
      </c>
      <c r="D27" s="91" t="str">
        <f>IF(LEFT(J3,3)="Syn","",IF(LEFT(N3,2)="L5","43       (Rudi)",IF(OR(LEFT(N3,2)="L6",LEFT(N3,2)="Ju"),"1 element with at least 540˚ twist","")))</f>
        <v/>
      </c>
      <c r="E27" s="91"/>
      <c r="F27" s="91"/>
      <c r="G27" s="92"/>
      <c r="V27" s="41"/>
      <c r="AJ27" s="41"/>
      <c r="AK27" s="41"/>
      <c r="AL27" s="41"/>
    </row>
    <row r="28" spans="1:38" ht="16" thickBot="1" x14ac:dyDescent="0.25">
      <c r="C28" s="32" t="str">
        <f>IF(D28&lt;&gt;"","r","")</f>
        <v/>
      </c>
      <c r="D28" s="62" t="str">
        <f>IF(LEFT(J3,3)="Syn","",IF(LEFT(N3,2)="L5","41&lt;     (Barani Pike)",""))</f>
        <v/>
      </c>
      <c r="E28" s="62"/>
      <c r="F28" s="62"/>
      <c r="G28" s="63"/>
      <c r="J28" s="35" t="str" cm="1">
        <f t="array" ref="J28">IF(AND(NOT(OR(LEFT(N3,2)="L1",LEFT(N3,2)="L2",LEFT(N3,2)="L3",LEFT(N3,2)="L4")),OR(IF(AND($D10&lt;&gt;"",SUMPRODUCT(--($D$9:$D9=$D10))),1,0),IF(AND($D11&lt;&gt;"",SUMPRODUCT(--($D$9:$D10=$D11))),1,0),IF(AND($D12&lt;&gt;"",SUMPRODUCT(--($D$9:$D11=$D12))),1,0),IF(AND($D13&lt;&gt;"",SUMPRODUCT(--($D$9:$D12=$D13))),1,0),IF(AND($D14&lt;&gt;"",SUMPRODUCT(--($D$9:$D13=$D14))),1,0),IF(AND($D15&lt;&gt;"",SUMPRODUCT(--($D$9:$D14=$D15))),1,0),IF(AND($D16&lt;&gt;"",SUMPRODUCT(--($D$9:$D15=$D16))),1,0),IF(AND($D17&lt;&gt;"",SUMPRODUCT(--($D$9:$D16=$D17))),1,0),IF(AND($D18&lt;&gt;"",SUMPRODUCT(--($D$9:$D17=$D18))),1,0),IF(AND($D19&lt;&gt;"",SUMPRODUCT(--($D$9:$D18=$D19))),1,0),SUMPRODUCT(--(J10:J19&lt;&gt;""),--(K10:K19="")),SUMPRODUCT(--(P10:P19&lt;&gt;""),--(Q10:Q19="")))),"Repetitions","")</f>
        <v/>
      </c>
      <c r="L28" s="35" t="str">
        <f>IF(COUNTIF(E10:E19,"N/A")+COUNTIF(K10:K19,"N/A")+COUNTIF(Q10:Q19,"N/A"),"Unknown Skills","")</f>
        <v/>
      </c>
      <c r="P28" s="2" t="str" cm="1">
        <f t="array" ref="P28">IF(OR(AND(LEFT(N3,2)="Se",OR(NUMFLIPS(J10)&lt;3,NUMFLIPS(J11)&lt;3,NUMFLIPS(J12)&lt;3,NUMFLIPS(J13)&lt;3,NUMFLIPS(J14)&lt;3,NUMFLIPS(J15)&lt;3,NUMFLIPS(J16)&lt;3,NUMFLIPS(J17)&lt;3,NUMFLIPS(J18)&lt;3,NUMFLIPS(J19)&lt;3)),AND(OR(LEFT(N3,2)="L5",LEFT(N3,2)="L6",LEFT(N3,2)="Ju",LEFT(N3,2)="L7"),SUM(NUMFLIPS(D10)&lt;3,NUMFLIPS(D11)&lt;3,NUMFLIPS(D12)&lt;3,NUMFLIPS(D13)&lt;3,NUMFLIPS(D14)&lt;3,NUMFLIPS(D15)&lt;3,NUMFLIPS(D16)&lt;3,NUMFLIPS(D17)&lt;3,NUMFLIPS(D18)&lt;3,NUMFLIPS(D19)&lt;3)&gt;1),AND(LEFT(N3,2)="Se",SUM(NUMFLIPS(D10)&lt;3,NUMFLIPS(D11)&lt;3,NUMFLIPS(D12)&lt;3,NUMFLIPS(D13)&lt;3,NUMFLIPS(D14)&lt;3,NUMFLIPS(D15)&lt;3,NUMFLIPS(D16)&lt;3,NUMFLIPS(D17)&lt;3,NUMFLIPS(D18)&lt;3,NUMFLIPS(D19)&lt;3)&gt;0)),"&lt; 270˚","")</f>
        <v/>
      </c>
      <c r="V28" s="41"/>
      <c r="X28" s="2"/>
      <c r="AJ28" s="41"/>
      <c r="AK28" s="41"/>
      <c r="AL28" s="41"/>
    </row>
    <row r="29" spans="1:38" x14ac:dyDescent="0.2">
      <c r="V29" s="41"/>
      <c r="AJ29" s="41"/>
      <c r="AK29" s="41"/>
      <c r="AL29" s="41"/>
    </row>
    <row r="30" spans="1:38" x14ac:dyDescent="0.2">
      <c r="D30" t="s">
        <v>31</v>
      </c>
      <c r="V30" s="41"/>
      <c r="AJ30" s="41"/>
      <c r="AK30" s="41"/>
      <c r="AL30" s="41"/>
    </row>
    <row r="31" spans="1:38" x14ac:dyDescent="0.2">
      <c r="V31" s="41"/>
      <c r="AJ31" s="41"/>
      <c r="AK31" s="41"/>
      <c r="AL31" s="41"/>
    </row>
    <row r="32" spans="1:38" x14ac:dyDescent="0.2">
      <c r="V32" s="41"/>
      <c r="AJ32" s="41"/>
      <c r="AK32" s="41"/>
      <c r="AL32" s="41"/>
    </row>
    <row r="33" spans="22:38" x14ac:dyDescent="0.2">
      <c r="V33" s="41"/>
      <c r="AJ33" s="41"/>
      <c r="AK33" s="41"/>
      <c r="AL33" s="41"/>
    </row>
    <row r="34" spans="22:38" x14ac:dyDescent="0.2">
      <c r="V34" s="41"/>
      <c r="AJ34" s="41"/>
      <c r="AK34" s="41"/>
      <c r="AL34" s="41"/>
    </row>
    <row r="35" spans="22:38" x14ac:dyDescent="0.2">
      <c r="V35" s="41"/>
      <c r="AJ35" s="41"/>
      <c r="AK35" s="41"/>
      <c r="AL35" s="41"/>
    </row>
    <row r="36" spans="22:38" x14ac:dyDescent="0.2">
      <c r="V36" s="41"/>
      <c r="AJ36" s="41"/>
      <c r="AK36" s="41"/>
      <c r="AL36" s="41"/>
    </row>
    <row r="37" spans="22:38" x14ac:dyDescent="0.2">
      <c r="V37" s="41"/>
      <c r="AJ37" s="41"/>
      <c r="AK37" s="41"/>
      <c r="AL37" s="41"/>
    </row>
    <row r="38" spans="22:38" x14ac:dyDescent="0.2">
      <c r="V38" s="41"/>
      <c r="AJ38" s="41"/>
      <c r="AK38" s="41"/>
      <c r="AL38" s="41"/>
    </row>
    <row r="39" spans="22:38" x14ac:dyDescent="0.2">
      <c r="V39" s="40"/>
      <c r="AD39" s="40"/>
      <c r="AE39" s="40"/>
      <c r="AF39" s="40"/>
      <c r="AG39" s="40"/>
      <c r="AH39" s="40"/>
      <c r="AI39" s="40"/>
      <c r="AJ39" s="40"/>
    </row>
  </sheetData>
  <sheetProtection algorithmName="SHA-512" hashValue="hewOlsJXc1c1NHXtiptJCnb+xWGfy4LU7uahrfApeCpV4ZvUj2IeuwD3MnnLQiuEiW2+4E7Ltyacuj2mcH1Kyw==" saltValue="9q326djBqD0+jhcC99KWlA==" spinCount="100000" sheet="1" objects="1" scenarios="1"/>
  <mergeCells count="38">
    <mergeCell ref="I6:M7"/>
    <mergeCell ref="L10:L19"/>
    <mergeCell ref="I9:J9"/>
    <mergeCell ref="R10:T19"/>
    <mergeCell ref="D26:G26"/>
    <mergeCell ref="I20:J20"/>
    <mergeCell ref="I8:K8"/>
    <mergeCell ref="L8:M8"/>
    <mergeCell ref="I22:M22"/>
    <mergeCell ref="J23:M23"/>
    <mergeCell ref="I24:M24"/>
    <mergeCell ref="J25:M25"/>
    <mergeCell ref="D23:G23"/>
    <mergeCell ref="D24:G24"/>
    <mergeCell ref="D25:G25"/>
    <mergeCell ref="A20:D20"/>
    <mergeCell ref="F10:F19"/>
    <mergeCell ref="F8:G8"/>
    <mergeCell ref="C9:D9"/>
    <mergeCell ref="A6:G6"/>
    <mergeCell ref="A7:G7"/>
    <mergeCell ref="A8:E8"/>
    <mergeCell ref="A1:U1"/>
    <mergeCell ref="J3:L3"/>
    <mergeCell ref="D28:G28"/>
    <mergeCell ref="A21:U21"/>
    <mergeCell ref="B3:D3"/>
    <mergeCell ref="F3:H3"/>
    <mergeCell ref="N3:P3"/>
    <mergeCell ref="O6:U7"/>
    <mergeCell ref="O8:Q8"/>
    <mergeCell ref="R8:U8"/>
    <mergeCell ref="O20:P20"/>
    <mergeCell ref="R20:T20"/>
    <mergeCell ref="O9:P9"/>
    <mergeCell ref="R9:T9"/>
    <mergeCell ref="D27:G27"/>
    <mergeCell ref="C22:G22"/>
  </mergeCells>
  <conditionalFormatting sqref="J28">
    <cfRule type="expression" dxfId="16" priority="26">
      <formula>IF($J$28="Repetitions",1,0)</formula>
    </cfRule>
  </conditionalFormatting>
  <conditionalFormatting sqref="L28">
    <cfRule type="expression" dxfId="15" priority="25">
      <formula>IF($L$28="Unknown Skills",1,0)</formula>
    </cfRule>
  </conditionalFormatting>
  <conditionalFormatting sqref="P23">
    <cfRule type="expression" dxfId="14" priority="21">
      <formula>IF($P$23="Under Min",1,0)</formula>
    </cfRule>
  </conditionalFormatting>
  <conditionalFormatting sqref="P25">
    <cfRule type="expression" dxfId="13" priority="12">
      <formula>IF($P$25="Over Max",1,0)</formula>
    </cfRule>
  </conditionalFormatting>
  <conditionalFormatting sqref="P28">
    <cfRule type="expression" dxfId="12" priority="8">
      <formula>IF($P$28="&lt; 270˚",1,0)</formula>
    </cfRule>
  </conditionalFormatting>
  <conditionalFormatting sqref="P10:Q19">
    <cfRule type="expression" dxfId="11" priority="123">
      <formula>IF($Q10="N/A",1,0)</formula>
    </cfRule>
    <cfRule type="expression" dxfId="10" priority="124">
      <formula>IF(AND($P10&lt;&gt;"",$Q10=""),1,0)</formula>
    </cfRule>
  </conditionalFormatting>
  <conditionalFormatting sqref="Q20 K20">
    <cfRule type="expression" dxfId="9" priority="31">
      <formula>IF(AND(K$20&lt;&gt;"",K$20&gt;$T$3),1,0)</formula>
    </cfRule>
    <cfRule type="expression" dxfId="8" priority="33">
      <formula>IF(AND(K$20&lt;&gt;"",K$20&lt;$R$3),1,0)</formula>
    </cfRule>
  </conditionalFormatting>
  <conditionalFormatting sqref="D10:E19">
    <cfRule type="expression" dxfId="7" priority="127">
      <formula>IF(OR(AND(OR(LEFT($N$3,2)="L5",LEFT($N$3,2)="L6",LEFT($N$3,2)="Ju",LEFT($N$3,2)="L7"),AND($V10&lt;3,COUNTIF($V$10:$V10,"&lt;3")&gt;1)),AND(LEFT($N$3,2)="Se",AND($V10&lt;3,COUNTIF($V$10:$V10,"&lt;3")&gt;0))),1,0)</formula>
    </cfRule>
    <cfRule type="expression" dxfId="6" priority="128">
      <formula>IF($E10="N/A",1,0)</formula>
    </cfRule>
    <cfRule type="expression" dxfId="5" priority="129">
      <formula>IF(AND(NOT(OR(LEFT($N$3,2)="L1",LEFT($N$3,2)="L2",LEFT($N$3,2)="L3",LEFT($N$3,2)="L4")),$D10&lt;&gt;"",SUMPRODUCT(--($D$9:$D9=$D10))),1,0)</formula>
    </cfRule>
  </conditionalFormatting>
  <conditionalFormatting sqref="J10:K19">
    <cfRule type="expression" dxfId="4" priority="130">
      <formula>IF(AND(LEFT($N$3,2)="Se",$W10&lt;3),1,0)</formula>
    </cfRule>
    <cfRule type="expression" dxfId="3" priority="131">
      <formula>IF($K10="N/A",1,0)</formula>
    </cfRule>
    <cfRule type="expression" dxfId="2" priority="132">
      <formula>IF(AND($J10&lt;&gt;"",$K10=""),1,0)</formula>
    </cfRule>
  </conditionalFormatting>
  <conditionalFormatting sqref="A6:G20">
    <cfRule type="expression" dxfId="1" priority="133">
      <formula>IF(AND(LEFT($J$3,3)="Syn",OR(LEFT($N$3,2)="L1",LEFT($N$3,2)="L2",LEFT($N$3,2)="L3",LEFT($N$3,2)="L4",LEFT($N$3,2)="L5",LEFT($N$3,2)="L6")),1,0)</formula>
    </cfRule>
  </conditionalFormatting>
  <conditionalFormatting sqref="E20">
    <cfRule type="expression" dxfId="0" priority="1">
      <formula>IF(AND(LEFT($N$3,2)="Se",E$20&lt;&gt;"",E$20&lt;$R$3),1,0)</formula>
    </cfRule>
  </conditionalFormatting>
  <dataValidations count="3">
    <dataValidation type="list" allowBlank="1" showInputMessage="1" sqref="D10:D19 J10:J19 P10:P19" xr:uid="{7D9E4CEF-FCC4-B948-ACDC-5C56018D8CD9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J3" xr:uid="{981916E7-3A1B-3446-BCA4-9B15F7A7CD7A}">
      <formula1>"Choose:,Individual Women/Femmes,Individual Men/Hommes,Synchro Women/Femmes,Synchro Men/Hommes"</formula1>
    </dataValidation>
    <dataValidation type="list" allowBlank="1" showInputMessage="1" showErrorMessage="1" sqref="N3" xr:uid="{6D7BB8C4-D2D2-FE4F-A463-CC62A0508997}">
      <formula1>"Choose:"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86" orientation="landscape" r:id="rId1"/>
  <headerFooter>
    <oddFooter>&amp;R&amp;"Calibri,Regular"&amp;K0000002023 Version 1.0 (Jan 2023)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21</xdr:col>
                    <xdr:colOff>50800</xdr:colOff>
                    <xdr:row>1</xdr:row>
                    <xdr:rowOff>38100</xdr:rowOff>
                  </from>
                  <to>
                    <xdr:col>23</xdr:col>
                    <xdr:colOff>711200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2023-01-07T23:49:18Z</dcterms:modified>
  <cp:category/>
</cp:coreProperties>
</file>