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DA520B76-8553-0A4B-BADA-9C92F9484C85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SYN'!$A$1:$U$27</definedName>
    <definedName name="SYNM">'DD TRA SYN'!$AB$3:$AB$9</definedName>
    <definedName name="SYNW">'DD TRA SYN'!$AA$3:$AA$9</definedName>
    <definedName name="TRAM">'DD TRA SYN'!$Z$3:$Z$16</definedName>
    <definedName name="TRAW">'DD TRA SYN'!$Y$3:$Y$21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7" i="1" l="1" a="1"/>
  <c r="P27" i="1"/>
  <c r="K10" i="1" a="1"/>
  <c r="K10" i="1"/>
  <c r="K11" i="1" a="1"/>
  <c r="K11" i="1"/>
  <c r="K12" i="1" a="1"/>
  <c r="K13" i="1" a="1"/>
  <c r="K14" i="1" a="1"/>
  <c r="K15" i="1" a="1"/>
  <c r="K16" i="1" a="1"/>
  <c r="K17" i="1" a="1"/>
  <c r="K18" i="1" a="1"/>
  <c r="K19" i="1" a="1"/>
  <c r="K12" i="1"/>
  <c r="K13" i="1"/>
  <c r="K14" i="1"/>
  <c r="K15" i="1"/>
  <c r="K16" i="1"/>
  <c r="K17" i="1"/>
  <c r="K18" i="1"/>
  <c r="K19" i="1"/>
  <c r="Q10" i="1" a="1"/>
  <c r="Q10" i="1"/>
  <c r="Q11" i="1" a="1"/>
  <c r="Q11" i="1"/>
  <c r="Q12" i="1" a="1"/>
  <c r="Q13" i="1" a="1"/>
  <c r="Q14" i="1" a="1"/>
  <c r="Q15" i="1" a="1"/>
  <c r="Q16" i="1" a="1"/>
  <c r="Q17" i="1" a="1"/>
  <c r="Q18" i="1" a="1"/>
  <c r="Q19" i="1" a="1"/>
  <c r="Q12" i="1"/>
  <c r="Q13" i="1"/>
  <c r="Q14" i="1"/>
  <c r="Q15" i="1"/>
  <c r="Q16" i="1"/>
  <c r="Q17" i="1"/>
  <c r="Q18" i="1"/>
  <c r="Q19" i="1"/>
  <c r="L27" i="1"/>
  <c r="X11" i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X10" i="1" a="1"/>
  <c r="X10" i="1"/>
  <c r="W11" i="1" a="1"/>
  <c r="W11" i="1"/>
  <c r="W12" i="1" a="1"/>
  <c r="W12" i="1"/>
  <c r="W13" i="1" a="1"/>
  <c r="W13" i="1"/>
  <c r="W14" i="1" a="1"/>
  <c r="W14" i="1"/>
  <c r="W15" i="1" a="1"/>
  <c r="W15" i="1"/>
  <c r="W16" i="1" a="1"/>
  <c r="W16" i="1"/>
  <c r="W17" i="1" a="1"/>
  <c r="W17" i="1"/>
  <c r="W18" i="1" a="1"/>
  <c r="W18" i="1"/>
  <c r="W19" i="1" a="1"/>
  <c r="W19" i="1"/>
  <c r="W10" i="1" a="1"/>
  <c r="W10" i="1"/>
  <c r="O4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D27" i="1"/>
  <c r="D26" i="1"/>
  <c r="D25" i="1"/>
  <c r="D24" i="1"/>
  <c r="D23" i="1"/>
  <c r="J23" i="1"/>
  <c r="J25" i="1"/>
  <c r="E20" i="1"/>
  <c r="K20" i="1"/>
  <c r="R3" i="1"/>
  <c r="Q20" i="1"/>
  <c r="P23" i="1"/>
  <c r="T3" i="1"/>
  <c r="P25" i="1"/>
  <c r="J27" i="1"/>
  <c r="I25" i="1"/>
  <c r="I23" i="1"/>
  <c r="C25" i="1"/>
  <c r="C26" i="1"/>
  <c r="C27" i="1"/>
  <c r="C24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<sst xmlns="http://schemas.openxmlformats.org/spreadsheetml/2006/main" count="71" uniqueCount="34">
  <si>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</si>
  <si>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</si>
  <si>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</si>
  <si>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</si>
  <si>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</si>
  <si>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</si>
  <si>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</si>
  <si>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</si>
  <si>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</si>
  <si>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</si>
  <si>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</si>
  <si>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</si>
  <si>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</si>
  <si>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</si>
  <si>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</si>
  <si>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</si>
  <si>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</si>
  <si>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</si>
  <si>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</si>
  <si>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</si>
  <si>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</si>
  <si>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</si>
  <si>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</si>
  <si>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</si>
  <si>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</si>
  <si>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</si>
  <si>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</si>
  <si>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</si>
  <si>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</si>
  <si>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</si>
  <si>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</si>
  <si>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2 DD Skills for L6, 4 DD Skills for Junior and Senior</t>
  </si>
  <si>
    <t>***Note: If using front and back skills with the same FIG code, use a period in front of front skills. For example, for front pike use .4-&lt;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</si>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</sst>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9" fillId="0" borderId="0" xfId="0" applyFont="1" applyFill="1" applyBorder="1" applyAlignment="1" applyProtection="1">
      <alignment horizontal="center"/>
    </xf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</cellXfs>
  <cellStyles count="1">
    <cellStyle name="Normal" xfId="0" builtinId="0"/>
  </cellStyles>
  <dxfs count="21"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1</xdr:row>
          <xdr:rowOff>38100</xdr:rowOff>
        </xdr:from>
        <xdr:to>
          <xdr:col>22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8"/>
  <sheetViews>
    <sheetView tabSelected="1" zoomScaleNormal="100" workbookViewId="0">
      <selection activeCell="B3" sqref="B3:E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3" max="29" width="11.5" style="58"/>
  </cols>
  <sheetData>
    <row r="1" spans="1:32" ht="22" thickBot="1" x14ac:dyDescent="0.3">
      <c r="A1" s="77" t="s">
        <v>19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58"/>
      <c r="AD1" s="58"/>
      <c r="AE1" s="58"/>
      <c r="AF1" s="58"/>
    </row>
    <row r="2" spans="1:32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28</v>
      </c>
      <c r="M2" s="18"/>
      <c r="N2" s="18"/>
      <c r="O2" s="18" t="s">
        <v>23</v>
      </c>
      <c r="P2" s="18"/>
      <c r="Q2" s="18"/>
      <c r="R2" s="18" t="s">
        <v>30</v>
      </c>
      <c r="S2" s="18"/>
      <c r="T2" s="18" t="s">
        <v>24</v>
      </c>
      <c r="U2" s="40"/>
      <c r="V2" s="58"/>
      <c r="AD2" s="58"/>
      <c r="AE2" s="58"/>
      <c r="AF2" s="58"/>
    </row>
    <row r="3" spans="1:32" ht="19" customHeight="1" x14ac:dyDescent="0.2">
      <c r="A3" s="19"/>
      <c r="B3" s="110"/>
      <c r="C3" s="110"/>
      <c r="D3" s="110"/>
      <c r="E3" s="110"/>
      <c r="F3" s="38"/>
      <c r="G3" s="99"/>
      <c r="H3" s="99"/>
      <c r="I3" s="99"/>
      <c r="J3" s="99"/>
      <c r="K3" s="20"/>
      <c r="L3" s="99" t="s">
        <v>33</v>
      </c>
      <c r="M3" s="99"/>
      <c r="N3" s="39"/>
      <c r="O3" s="99" t="s">
        <v>33</v>
      </c>
      <c r="P3" s="99"/>
      <c r="Q3" s="20"/>
      <c r="R3" s="56" t="str">
        <f>MINDD(L3,O4)</f>
        <v/>
      </c>
      <c r="S3" s="55"/>
      <c r="T3" s="56" t="str">
        <f>MAXDD(L3,O4)</f>
        <v/>
      </c>
      <c r="U3" s="41"/>
      <c r="V3" s="58"/>
      <c r="AD3" s="58"/>
      <c r="AE3" s="58"/>
      <c r="AF3" s="58"/>
    </row>
    <row r="4" spans="1:32" ht="18.75" customHeight="1" thickBot="1" x14ac:dyDescent="0.25">
      <c r="A4" s="21"/>
      <c r="B4" s="22"/>
      <c r="C4" s="22"/>
      <c r="D4" s="22"/>
      <c r="E4" s="22"/>
      <c r="F4" s="22"/>
      <c r="G4" s="47"/>
      <c r="H4" s="47"/>
      <c r="I4" s="22"/>
      <c r="J4" s="22"/>
      <c r="K4" s="22"/>
      <c r="L4" s="22"/>
      <c r="M4" s="22"/>
      <c r="N4" s="22"/>
      <c r="O4" s="47" t="str">
        <f>LEFT(O3,2)</f>
        <v>Ch</v>
      </c>
      <c r="P4" s="22"/>
      <c r="Q4" s="22"/>
      <c r="R4" s="22"/>
      <c r="S4" s="22"/>
      <c r="T4" s="22"/>
      <c r="U4" s="23"/>
      <c r="V4" s="58"/>
      <c r="AD4" s="58"/>
      <c r="AE4" s="58"/>
      <c r="AF4" s="58"/>
    </row>
    <row r="5" spans="1:32" ht="8.25" customHeight="1" thickBot="1" x14ac:dyDescent="0.25">
      <c r="V5" s="58"/>
      <c r="AD5" s="58"/>
      <c r="AE5" s="58"/>
      <c r="AF5" s="58"/>
    </row>
    <row r="6" spans="1:32" s="2" customFormat="1" ht="22" customHeight="1" x14ac:dyDescent="0.25">
      <c r="A6" s="111" t="s">
        <v>20</v>
      </c>
      <c r="B6" s="112"/>
      <c r="C6" s="112"/>
      <c r="D6" s="112"/>
      <c r="E6" s="112"/>
      <c r="F6" s="112"/>
      <c r="G6" s="113"/>
      <c r="I6" s="91" t="s">
        <v>18</v>
      </c>
      <c r="J6" s="92"/>
      <c r="K6" s="92"/>
      <c r="L6" s="92"/>
      <c r="M6" s="93"/>
      <c r="N6" s="3"/>
      <c r="O6" s="91" t="s">
        <v>14</v>
      </c>
      <c r="P6" s="92"/>
      <c r="Q6" s="92"/>
      <c r="R6" s="92"/>
      <c r="S6" s="97"/>
      <c r="T6" s="97"/>
      <c r="U6" s="93"/>
      <c r="V6" s="59"/>
      <c r="W6" s="59"/>
      <c r="X6" s="58"/>
      <c r="Y6" s="58"/>
      <c r="Z6" s="58"/>
      <c r="AA6" s="58"/>
      <c r="AB6" s="58"/>
      <c r="AC6" s="59"/>
      <c r="AD6" s="59"/>
      <c r="AE6" s="59"/>
      <c r="AF6" s="59"/>
    </row>
    <row r="7" spans="1:32" ht="17" customHeight="1" x14ac:dyDescent="0.25">
      <c r="A7" s="114" t="s">
        <v>31</v>
      </c>
      <c r="B7" s="115"/>
      <c r="C7" s="115"/>
      <c r="D7" s="115"/>
      <c r="E7" s="115"/>
      <c r="F7" s="115"/>
      <c r="G7" s="116"/>
      <c r="I7" s="94"/>
      <c r="J7" s="95"/>
      <c r="K7" s="95"/>
      <c r="L7" s="95"/>
      <c r="M7" s="96"/>
      <c r="N7" s="4"/>
      <c r="O7" s="94"/>
      <c r="P7" s="95"/>
      <c r="Q7" s="95"/>
      <c r="R7" s="95"/>
      <c r="S7" s="98"/>
      <c r="T7" s="98"/>
      <c r="U7" s="96"/>
      <c r="V7" s="58"/>
      <c r="AD7" s="58"/>
      <c r="AE7" s="58"/>
      <c r="AF7" s="58"/>
    </row>
    <row r="8" spans="1:32" s="7" customFormat="1" ht="20.25" customHeight="1" x14ac:dyDescent="0.2">
      <c r="A8" s="84" t="s">
        <v>15</v>
      </c>
      <c r="B8" s="86"/>
      <c r="C8" s="86"/>
      <c r="D8" s="85"/>
      <c r="E8" s="85"/>
      <c r="F8" s="86" t="s">
        <v>16</v>
      </c>
      <c r="G8" s="88"/>
      <c r="I8" s="84" t="s">
        <v>15</v>
      </c>
      <c r="J8" s="85"/>
      <c r="K8" s="85"/>
      <c r="L8" s="86" t="s">
        <v>16</v>
      </c>
      <c r="M8" s="88"/>
      <c r="O8" s="84" t="s">
        <v>15</v>
      </c>
      <c r="P8" s="85"/>
      <c r="Q8" s="85"/>
      <c r="R8" s="86" t="s">
        <v>16</v>
      </c>
      <c r="S8" s="87"/>
      <c r="T8" s="87"/>
      <c r="U8" s="88"/>
      <c r="V8" s="60"/>
      <c r="W8" s="60"/>
      <c r="X8" s="64"/>
      <c r="Y8" s="58"/>
      <c r="Z8" s="58"/>
      <c r="AA8" s="58"/>
      <c r="AB8" s="58"/>
      <c r="AC8" s="60"/>
      <c r="AD8" s="60"/>
      <c r="AE8" s="60"/>
      <c r="AF8" s="60"/>
    </row>
    <row r="9" spans="1:32" s="2" customFormat="1" ht="16" thickBot="1" x14ac:dyDescent="0.25">
      <c r="A9" s="28" t="s">
        <v>26</v>
      </c>
      <c r="B9" s="29" t="s">
        <v>27</v>
      </c>
      <c r="C9" s="100" t="s">
        <v>13</v>
      </c>
      <c r="D9" s="102"/>
      <c r="E9" s="13" t="s">
        <v>11</v>
      </c>
      <c r="F9" s="9"/>
      <c r="G9" s="8" t="s">
        <v>11</v>
      </c>
      <c r="I9" s="89" t="s">
        <v>13</v>
      </c>
      <c r="J9" s="90"/>
      <c r="K9" s="13" t="s">
        <v>11</v>
      </c>
      <c r="L9" s="9"/>
      <c r="M9" s="8" t="s">
        <v>11</v>
      </c>
      <c r="O9" s="89" t="s">
        <v>13</v>
      </c>
      <c r="P9" s="90"/>
      <c r="Q9" s="13" t="s">
        <v>11</v>
      </c>
      <c r="R9" s="100"/>
      <c r="S9" s="101"/>
      <c r="T9" s="102"/>
      <c r="U9" s="8" t="s">
        <v>11</v>
      </c>
      <c r="V9" s="59"/>
      <c r="W9" s="59"/>
      <c r="X9" s="58"/>
      <c r="Y9" s="58"/>
      <c r="Z9" s="64"/>
      <c r="AA9" s="58"/>
      <c r="AB9" s="58"/>
      <c r="AC9" s="59"/>
      <c r="AD9" s="59"/>
      <c r="AE9" s="59"/>
      <c r="AF9" s="59"/>
    </row>
    <row r="10" spans="1:32" ht="20.25" customHeight="1" thickTop="1" x14ac:dyDescent="0.25">
      <c r="A10" s="32"/>
      <c r="B10" s="33"/>
      <c r="C10" s="25" t="s">
        <v>0</v>
      </c>
      <c r="D10" s="49"/>
      <c r="E10" s="30" t="str" cm="1">
        <f t="array" ref="E10">IF(AND(D10&lt;&gt;"",B10&lt;&gt;"",OR($O$4="L6",$O$4="Ju",$O$4="Se")),DD(D10),"")</f>
        <v/>
      </c>
      <c r="F10" s="81"/>
      <c r="G10" s="5"/>
      <c r="I10" s="14" t="s">
        <v>0</v>
      </c>
      <c r="J10" s="49"/>
      <c r="K10" s="30" t="str" cm="1">
        <f t="array" ref="K10">IF(OR(J10="",COUNTIFS(D$10:D$19,J10,E$10:E$19,"&gt;0")),"",DD(J10))</f>
        <v/>
      </c>
      <c r="L10" s="81"/>
      <c r="M10" s="5"/>
      <c r="O10" s="14" t="s">
        <v>0</v>
      </c>
      <c r="P10" s="49"/>
      <c r="Q10" s="30" t="str" cm="1">
        <f t="array" ref="Q10">IF(P10="","",DD(P10))</f>
        <v/>
      </c>
      <c r="R10" s="65"/>
      <c r="S10" s="66"/>
      <c r="T10" s="67"/>
      <c r="U10" s="5"/>
      <c r="V10" s="58"/>
      <c r="W10" s="63" t="str" cm="1">
        <f t="array" ref="W10">NUMFLIPS(D10)</f>
        <v/>
      </c>
      <c r="X10" s="57" t="str" cm="1">
        <f t="array" ref="X10">NUMFLIPS(J10)</f>
        <v/>
      </c>
      <c r="Y10" s="64"/>
      <c r="AD10" s="58"/>
      <c r="AE10" s="58"/>
      <c r="AF10" s="58"/>
    </row>
    <row r="11" spans="1:32" ht="20.25" customHeight="1" x14ac:dyDescent="0.25">
      <c r="A11" s="34"/>
      <c r="B11" s="35"/>
      <c r="C11" s="26" t="s">
        <v>1</v>
      </c>
      <c r="D11" s="50"/>
      <c r="E11" s="30" t="str" cm="1">
        <f t="array" ref="E11">IF(AND(B11&lt;&gt;"",D11&lt;&gt;"",COUNT(E$10:E10)&lt;IF($O$4="L5",0,IF($O$4="L6",2,IF($O$4="Ju",4,IF($O$4="Se",4,0))))),IF(COUNTIFS(D$10:D10,D11,E$10:E10,"&gt;0"),"",DD(D11)),"")</f>
        <v/>
      </c>
      <c r="F11" s="82"/>
      <c r="G11" s="1"/>
      <c r="I11" s="15" t="s">
        <v>1</v>
      </c>
      <c r="J11" s="50"/>
      <c r="K11" s="30" t="str" cm="1">
        <f t="array" ref="K11">IF(OR(J11="",COUNTIFS(D$10:D$19,J11,E$10:E$19,"&gt;0"),COUNTIFS(J$10:J10,J11)),"",DD(J11))</f>
        <v/>
      </c>
      <c r="L11" s="82"/>
      <c r="M11" s="1"/>
      <c r="O11" s="15" t="s">
        <v>1</v>
      </c>
      <c r="P11" s="50"/>
      <c r="Q11" s="30" t="str" cm="1">
        <f t="array" ref="Q11">IF(OR(P11="",COUNTIFS(P$10:P10,P11)),"",DD(P11))</f>
        <v/>
      </c>
      <c r="R11" s="68"/>
      <c r="S11" s="69"/>
      <c r="T11" s="70"/>
      <c r="U11" s="1"/>
      <c r="V11" s="58"/>
      <c r="W11" s="63" t="str" cm="1">
        <f t="array" ref="W11">NUMFLIPS(D11)</f>
        <v/>
      </c>
      <c r="X11" s="57" t="str" cm="1">
        <f t="array" ref="X11">NUMFLIPS(J11)</f>
        <v/>
      </c>
      <c r="AD11" s="58"/>
      <c r="AE11" s="58"/>
      <c r="AF11" s="58"/>
    </row>
    <row r="12" spans="1:32" ht="20.25" customHeight="1" x14ac:dyDescent="0.25">
      <c r="A12" s="34"/>
      <c r="B12" s="35"/>
      <c r="C12" s="26" t="s">
        <v>2</v>
      </c>
      <c r="D12" s="50"/>
      <c r="E12" s="30" t="str" cm="1">
        <f t="array" ref="E12">IF(AND(B12&lt;&gt;"",D12&lt;&gt;"",COUNT(E$10:E11)&lt;IF($O$4="L5",0,IF($O$4="L6",2,IF($O$4="Ju",4,IF($O$4="Se",4,0))))),IF(COUNTIFS(D$10:D11,D12,E$10:E11,"&gt;0"),"",DD(D12)),"")</f>
        <v/>
      </c>
      <c r="F12" s="82"/>
      <c r="G12" s="1"/>
      <c r="I12" s="15" t="s">
        <v>2</v>
      </c>
      <c r="J12" s="50"/>
      <c r="K12" s="30" t="str" cm="1">
        <f t="array" ref="K12">IF(OR(J12="",COUNTIFS(D$10:D$19,J12,E$10:E$19,"&gt;0"),COUNTIFS(J$10:J11,J12)),"",DD(J12))</f>
        <v/>
      </c>
      <c r="L12" s="82"/>
      <c r="M12" s="1"/>
      <c r="O12" s="15" t="s">
        <v>2</v>
      </c>
      <c r="P12" s="50"/>
      <c r="Q12" s="30" t="str" cm="1">
        <f t="array" ref="Q12">IF(OR(P12="",COUNTIFS(P$10:P11,P12)),"",DD(P12))</f>
        <v/>
      </c>
      <c r="R12" s="68"/>
      <c r="S12" s="69"/>
      <c r="T12" s="70"/>
      <c r="U12" s="1"/>
      <c r="V12" s="58"/>
      <c r="W12" s="63" t="str" cm="1">
        <f t="array" ref="W12">NUMFLIPS(D12)</f>
        <v/>
      </c>
      <c r="X12" s="57" t="str" cm="1">
        <f t="array" ref="X12">NUMFLIPS(J12)</f>
        <v/>
      </c>
      <c r="AD12" s="58"/>
      <c r="AE12" s="58"/>
      <c r="AF12" s="58"/>
    </row>
    <row r="13" spans="1:32" ht="20.25" customHeight="1" x14ac:dyDescent="0.25">
      <c r="A13" s="34"/>
      <c r="B13" s="35"/>
      <c r="C13" s="26" t="s">
        <v>3</v>
      </c>
      <c r="D13" s="50"/>
      <c r="E13" s="30" t="str" cm="1">
        <f t="array" ref="E13">IF(AND(B13&lt;&gt;"",D13&lt;&gt;"",COUNT(E$10:E12)&lt;IF($O$4="L5",0,IF($O$4="L6",2,IF($O$4="Ju",4,IF($O$4="Se",4,0))))),IF(COUNTIFS(D$10:D12,D13,E$10:E12,"&gt;0"),"",DD(D13)),"")</f>
        <v/>
      </c>
      <c r="F13" s="82"/>
      <c r="G13" s="1"/>
      <c r="I13" s="15" t="s">
        <v>3</v>
      </c>
      <c r="J13" s="50"/>
      <c r="K13" s="30" t="str" cm="1">
        <f t="array" ref="K13">IF(OR(J13="",COUNTIFS(D$10:D$19,J13,E$10:E$19,"&gt;0"),COUNTIFS(J$10:J12,J13)),"",DD(J13))</f>
        <v/>
      </c>
      <c r="L13" s="82"/>
      <c r="M13" s="1"/>
      <c r="O13" s="15" t="s">
        <v>3</v>
      </c>
      <c r="P13" s="50"/>
      <c r="Q13" s="30" t="str" cm="1">
        <f t="array" ref="Q13">IF(OR(P13="",COUNTIFS(P$10:P12,P13)),"",DD(P13))</f>
        <v/>
      </c>
      <c r="R13" s="68"/>
      <c r="S13" s="69"/>
      <c r="T13" s="70"/>
      <c r="U13" s="1"/>
      <c r="V13" s="58"/>
      <c r="W13" s="63" t="str" cm="1">
        <f t="array" ref="W13">NUMFLIPS(D13)</f>
        <v/>
      </c>
      <c r="X13" s="57" t="str" cm="1">
        <f t="array" ref="X13">NUMFLIPS(J13)</f>
        <v/>
      </c>
      <c r="AD13" s="58"/>
      <c r="AE13" s="58"/>
      <c r="AF13" s="58"/>
    </row>
    <row r="14" spans="1:32" ht="20.25" customHeight="1" x14ac:dyDescent="0.25">
      <c r="A14" s="34"/>
      <c r="B14" s="35"/>
      <c r="C14" s="26" t="s">
        <v>4</v>
      </c>
      <c r="D14" s="50"/>
      <c r="E14" s="30" t="str" cm="1">
        <f t="array" ref="E14">IF(AND(B14&lt;&gt;"",D14&lt;&gt;"",COUNT(E$10:E13)&lt;IF($O$4="L5",0,IF($O$4="L6",2,IF($O$4="Ju",4,IF($O$4="Se",4,0))))),IF(COUNTIFS(D$10:D13,D14,E$10:E13,"&gt;0"),"",DD(D14)),"")</f>
        <v/>
      </c>
      <c r="F14" s="82"/>
      <c r="G14" s="1"/>
      <c r="I14" s="15" t="s">
        <v>4</v>
      </c>
      <c r="J14" s="50"/>
      <c r="K14" s="30" t="str" cm="1">
        <f t="array" ref="K14">IF(OR(J14="",COUNTIFS(D$10:D$19,J14,E$10:E$19,"&gt;0"),COUNTIFS(J$10:J13,J14)),"",DD(J14))</f>
        <v/>
      </c>
      <c r="L14" s="82"/>
      <c r="M14" s="1"/>
      <c r="O14" s="15" t="s">
        <v>4</v>
      </c>
      <c r="P14" s="50"/>
      <c r="Q14" s="30" t="str" cm="1">
        <f t="array" ref="Q14">IF(OR(P14="",COUNTIFS(P$10:P13,P14)),"",DD(P14))</f>
        <v/>
      </c>
      <c r="R14" s="68"/>
      <c r="S14" s="69"/>
      <c r="T14" s="70"/>
      <c r="U14" s="1"/>
      <c r="V14" s="58"/>
      <c r="W14" s="63" t="str" cm="1">
        <f t="array" ref="W14">NUMFLIPS(D14)</f>
        <v/>
      </c>
      <c r="X14" s="57" t="str" cm="1">
        <f t="array" ref="X14">NUMFLIPS(J14)</f>
        <v/>
      </c>
      <c r="AD14" s="58"/>
      <c r="AE14" s="58"/>
      <c r="AF14" s="58"/>
    </row>
    <row r="15" spans="1:32" ht="20.25" customHeight="1" x14ac:dyDescent="0.25">
      <c r="A15" s="34"/>
      <c r="B15" s="35"/>
      <c r="C15" s="26" t="s">
        <v>5</v>
      </c>
      <c r="D15" s="50"/>
      <c r="E15" s="30" t="str" cm="1">
        <f t="array" ref="E15">IF(AND(B15&lt;&gt;"",D15&lt;&gt;"",COUNT(E$10:E14)&lt;IF($O$4="L5",0,IF($O$4="L6",2,IF($O$4="Ju",4,IF($O$4="Se",4,0))))),IF(COUNTIFS(D$10:D14,D15,E$10:E14,"&gt;0"),"",DD(D15)),"")</f>
        <v/>
      </c>
      <c r="F15" s="82"/>
      <c r="G15" s="1"/>
      <c r="I15" s="15" t="s">
        <v>5</v>
      </c>
      <c r="J15" s="50"/>
      <c r="K15" s="30" t="str" cm="1">
        <f t="array" ref="K15">IF(OR(J15="",COUNTIFS(D$10:D$19,J15,E$10:E$19,"&gt;0"),COUNTIFS(J$10:J14,J15)),"",DD(J15))</f>
        <v/>
      </c>
      <c r="L15" s="82"/>
      <c r="M15" s="1"/>
      <c r="O15" s="15" t="s">
        <v>5</v>
      </c>
      <c r="P15" s="50"/>
      <c r="Q15" s="30" t="str" cm="1">
        <f t="array" ref="Q15">IF(OR(P15="",COUNTIFS(P$10:P14,P15)),"",DD(P15))</f>
        <v/>
      </c>
      <c r="R15" s="68"/>
      <c r="S15" s="69"/>
      <c r="T15" s="70"/>
      <c r="U15" s="1"/>
      <c r="V15" s="58"/>
      <c r="W15" s="63" t="str" cm="1">
        <f t="array" ref="W15">NUMFLIPS(D15)</f>
        <v/>
      </c>
      <c r="X15" s="57" t="str" cm="1">
        <f t="array" ref="X15">NUMFLIPS(J15)</f>
        <v/>
      </c>
      <c r="AD15" s="58"/>
      <c r="AE15" s="58"/>
      <c r="AF15" s="58"/>
    </row>
    <row r="16" spans="1:32" ht="20.25" customHeight="1" x14ac:dyDescent="0.25">
      <c r="A16" s="34"/>
      <c r="B16" s="35"/>
      <c r="C16" s="26" t="s">
        <v>6</v>
      </c>
      <c r="D16" s="50"/>
      <c r="E16" s="30" t="str" cm="1">
        <f t="array" ref="E16">IF(AND(B16&lt;&gt;"",D16&lt;&gt;"",COUNT(E$10:E15)&lt;IF($O$4="L5",0,IF($O$4="L6",2,IF($O$4="Ju",4,IF($O$4="Se",4,0))))),IF(COUNTIFS(D$10:D15,D16,E$10:E15,"&gt;0"),"",DD(D16)),"")</f>
        <v/>
      </c>
      <c r="F16" s="82"/>
      <c r="G16" s="1"/>
      <c r="I16" s="15" t="s">
        <v>6</v>
      </c>
      <c r="J16" s="50"/>
      <c r="K16" s="30" t="str" cm="1">
        <f t="array" ref="K16">IF(OR(J16="",COUNTIFS(D$10:D$19,J16,E$10:E$19,"&gt;0"),COUNTIFS(J$10:J15,J16)),"",DD(J16))</f>
        <v/>
      </c>
      <c r="L16" s="82"/>
      <c r="M16" s="1"/>
      <c r="O16" s="15" t="s">
        <v>6</v>
      </c>
      <c r="P16" s="50"/>
      <c r="Q16" s="30" t="str" cm="1">
        <f t="array" ref="Q16">IF(OR(P16="",COUNTIFS(P$10:P15,P16)),"",DD(P16))</f>
        <v/>
      </c>
      <c r="R16" s="68"/>
      <c r="S16" s="69"/>
      <c r="T16" s="70"/>
      <c r="U16" s="1"/>
      <c r="V16" s="58"/>
      <c r="W16" s="63" t="str" cm="1">
        <f t="array" ref="W16">NUMFLIPS(D16)</f>
        <v/>
      </c>
      <c r="X16" s="57" t="str" cm="1">
        <f t="array" ref="X16">NUMFLIPS(J16)</f>
        <v/>
      </c>
      <c r="AD16" s="58"/>
      <c r="AE16" s="58"/>
      <c r="AF16" s="58"/>
    </row>
    <row r="17" spans="1:32" ht="20.25" customHeight="1" x14ac:dyDescent="0.25">
      <c r="A17" s="34"/>
      <c r="B17" s="35"/>
      <c r="C17" s="26" t="s">
        <v>7</v>
      </c>
      <c r="D17" s="50"/>
      <c r="E17" s="30" t="str" cm="1">
        <f t="array" ref="E17">IF(AND(B17&lt;&gt;"",D17&lt;&gt;"",COUNT(E$10:E16)&lt;IF($O$4="L5",0,IF($O$4="L6",2,IF($O$4="Ju",4,IF($O$4="Se",4,0))))),IF(COUNTIFS(D$10:D16,D17,E$10:E16,"&gt;0"),"",DD(D17)),"")</f>
        <v/>
      </c>
      <c r="F17" s="82"/>
      <c r="G17" s="1"/>
      <c r="I17" s="15" t="s">
        <v>7</v>
      </c>
      <c r="J17" s="50"/>
      <c r="K17" s="30" t="str" cm="1">
        <f t="array" ref="K17">IF(OR(J17="",COUNTIFS(D$10:D$19,J17,E$10:E$19,"&gt;0"),COUNTIFS(J$10:J16,J17)),"",DD(J17))</f>
        <v/>
      </c>
      <c r="L17" s="82"/>
      <c r="M17" s="1"/>
      <c r="O17" s="15" t="s">
        <v>7</v>
      </c>
      <c r="P17" s="50"/>
      <c r="Q17" s="30" t="str" cm="1">
        <f t="array" ref="Q17">IF(OR(P17="",COUNTIFS(P$10:P16,P17)),"",DD(P17))</f>
        <v/>
      </c>
      <c r="R17" s="68"/>
      <c r="S17" s="69"/>
      <c r="T17" s="70"/>
      <c r="U17" s="1"/>
      <c r="V17" s="58"/>
      <c r="W17" s="63" t="str" cm="1">
        <f t="array" ref="W17">NUMFLIPS(D17)</f>
        <v/>
      </c>
      <c r="X17" s="57" t="str" cm="1">
        <f t="array" ref="X17">NUMFLIPS(J17)</f>
        <v/>
      </c>
      <c r="AD17" s="58"/>
      <c r="AE17" s="58"/>
      <c r="AF17" s="58"/>
    </row>
    <row r="18" spans="1:32" ht="20.25" customHeight="1" x14ac:dyDescent="0.25">
      <c r="A18" s="34"/>
      <c r="B18" s="35"/>
      <c r="C18" s="26" t="s">
        <v>8</v>
      </c>
      <c r="D18" s="50"/>
      <c r="E18" s="30" t="str" cm="1">
        <f t="array" ref="E18">IF(AND(B18&lt;&gt;"",D18&lt;&gt;"",COUNT(E$10:E17)&lt;IF($O$4="L5",0,IF($O$4="L6",2,IF($O$4="Ju",4,IF($O$4="Se",4,0))))),IF(COUNTIFS(D$10:D17,D18,E$10:E17,"&gt;0"),"",DD(D18)),"")</f>
        <v/>
      </c>
      <c r="F18" s="82"/>
      <c r="G18" s="1"/>
      <c r="I18" s="15" t="s">
        <v>8</v>
      </c>
      <c r="J18" s="50"/>
      <c r="K18" s="30" t="str" cm="1">
        <f t="array" ref="K18">IF(OR(J18="",COUNTIFS(D$10:D$19,J18,E$10:E$19,"&gt;0"),COUNTIFS(J$10:J17,J18)),"",DD(J18))</f>
        <v/>
      </c>
      <c r="L18" s="82"/>
      <c r="M18" s="1"/>
      <c r="O18" s="15" t="s">
        <v>8</v>
      </c>
      <c r="P18" s="50"/>
      <c r="Q18" s="30" t="str" cm="1">
        <f t="array" ref="Q18">IF(OR(P18="",COUNTIFS(P$10:P17,P18)),"",DD(P18))</f>
        <v/>
      </c>
      <c r="R18" s="68"/>
      <c r="S18" s="69"/>
      <c r="T18" s="70"/>
      <c r="U18" s="1"/>
      <c r="V18" s="58"/>
      <c r="W18" s="63" t="str" cm="1">
        <f t="array" ref="W18">NUMFLIPS(D18)</f>
        <v/>
      </c>
      <c r="X18" s="57" t="str" cm="1">
        <f t="array" ref="X18">NUMFLIPS(J18)</f>
        <v/>
      </c>
      <c r="AD18" s="58"/>
      <c r="AE18" s="58"/>
      <c r="AF18" s="58"/>
    </row>
    <row r="19" spans="1:32" ht="20.25" customHeight="1" thickBot="1" x14ac:dyDescent="0.3">
      <c r="A19" s="36"/>
      <c r="B19" s="37"/>
      <c r="C19" s="27" t="s">
        <v>9</v>
      </c>
      <c r="D19" s="51"/>
      <c r="E19" s="31" t="str" cm="1">
        <f t="array" ref="E19">IF(AND(B19&lt;&gt;"",D19&lt;&gt;"",COUNT(E$10:E18)&lt;IF($O$4="L5",0,IF($O$4="L6",2,IF($O$4="Ju",4,IF($O$4="Se",4,0))))),IF(COUNTIFS(D$10:D18,D19,E$10:E18,"&gt;0"),"",DD(D19)),"")</f>
        <v/>
      </c>
      <c r="F19" s="83"/>
      <c r="G19" s="6"/>
      <c r="I19" s="16" t="s">
        <v>9</v>
      </c>
      <c r="J19" s="51"/>
      <c r="K19" s="31" t="str" cm="1">
        <f t="array" ref="K19">IF(OR(J19="",COUNTIFS(D$10:D$19,J19,E$10:E$19,"&gt;0"),COUNTIFS(J$10:J18,J19)),"",DD(J19))</f>
        <v/>
      </c>
      <c r="L19" s="83"/>
      <c r="M19" s="6"/>
      <c r="O19" s="16" t="s">
        <v>9</v>
      </c>
      <c r="P19" s="51"/>
      <c r="Q19" s="31" t="str" cm="1">
        <f t="array" ref="Q19">IF(OR(P19="",COUNTIFS(P$10:P18,P19)),"",DD(P19))</f>
        <v/>
      </c>
      <c r="R19" s="71"/>
      <c r="S19" s="72"/>
      <c r="T19" s="73"/>
      <c r="U19" s="6"/>
      <c r="V19" s="58"/>
      <c r="W19" s="63" t="str" cm="1">
        <f t="array" ref="W19">NUMFLIPS(D19)</f>
        <v/>
      </c>
      <c r="X19" s="57" t="str" cm="1">
        <f t="array" ref="X19">NUMFLIPS(J19)</f>
        <v/>
      </c>
      <c r="AD19" s="58"/>
      <c r="AE19" s="58"/>
      <c r="AF19" s="58"/>
    </row>
    <row r="20" spans="1:32" s="2" customFormat="1" ht="20.25" customHeight="1" thickTop="1" x14ac:dyDescent="0.2">
      <c r="A20" s="78" t="s">
        <v>10</v>
      </c>
      <c r="B20" s="79"/>
      <c r="C20" s="79"/>
      <c r="D20" s="80"/>
      <c r="E20" s="24" t="str">
        <f>IF(SUM(E10:E19)=0,"",SUM(E10:E19))</f>
        <v/>
      </c>
      <c r="F20" s="11" t="s">
        <v>12</v>
      </c>
      <c r="G20" s="10"/>
      <c r="I20" s="117" t="s">
        <v>10</v>
      </c>
      <c r="J20" s="118"/>
      <c r="K20" s="24" t="str">
        <f>IF(SUM(K10:K19)=0,"",SUM(K10:K19))</f>
        <v/>
      </c>
      <c r="L20" s="11" t="s">
        <v>12</v>
      </c>
      <c r="M20" s="12"/>
      <c r="O20" s="117" t="s">
        <v>10</v>
      </c>
      <c r="P20" s="118"/>
      <c r="Q20" s="24" t="str">
        <f>IF(SUM(Q10:Q19)=0,"",SUM(Q10:Q19))</f>
        <v/>
      </c>
      <c r="R20" s="74" t="s">
        <v>12</v>
      </c>
      <c r="S20" s="75"/>
      <c r="T20" s="76"/>
      <c r="U20" s="12"/>
      <c r="V20" s="59"/>
      <c r="W20" s="58"/>
      <c r="X20" s="58"/>
      <c r="Y20" s="58"/>
      <c r="Z20" s="58"/>
      <c r="AA20" s="58"/>
      <c r="AB20" s="58"/>
      <c r="AC20" s="59"/>
      <c r="AD20" s="59"/>
      <c r="AE20" s="59"/>
      <c r="AF20" s="59"/>
    </row>
    <row r="21" spans="1:32" s="2" customFormat="1" ht="20.25" customHeight="1" thickBot="1" x14ac:dyDescent="0.25">
      <c r="A21" s="119" t="s">
        <v>17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1"/>
      <c r="V21" s="59"/>
      <c r="W21" s="58"/>
      <c r="X21" s="58"/>
      <c r="Y21" s="58"/>
      <c r="Z21" s="58"/>
      <c r="AA21" s="58"/>
      <c r="AB21" s="58"/>
      <c r="AC21" s="59"/>
      <c r="AD21" s="59"/>
      <c r="AE21" s="59"/>
      <c r="AF21" s="59"/>
    </row>
    <row r="22" spans="1:32" ht="24" customHeight="1" x14ac:dyDescent="0.2">
      <c r="A22" s="44"/>
      <c r="B22" s="44"/>
      <c r="C22" s="107" t="s">
        <v>25</v>
      </c>
      <c r="D22" s="108"/>
      <c r="E22" s="108"/>
      <c r="F22" s="108"/>
      <c r="G22" s="109"/>
      <c r="H22" s="53"/>
      <c r="I22" s="107" t="s">
        <v>25</v>
      </c>
      <c r="J22" s="108"/>
      <c r="K22" s="108"/>
      <c r="L22" s="108"/>
      <c r="M22" s="109"/>
      <c r="N22" s="53"/>
      <c r="O22" s="53"/>
      <c r="P22" s="53"/>
      <c r="Q22" s="53"/>
      <c r="R22" s="53"/>
      <c r="S22" s="53"/>
      <c r="T22" s="53"/>
      <c r="U22" s="53"/>
      <c r="V22" s="61"/>
      <c r="X22" s="61"/>
      <c r="AD22" s="58"/>
      <c r="AE22" s="58"/>
      <c r="AF22" s="58"/>
    </row>
    <row r="23" spans="1:32" ht="16" customHeight="1" thickBot="1" x14ac:dyDescent="0.25">
      <c r="A23" s="43"/>
      <c r="B23" s="44"/>
      <c r="C23" s="52" t="str">
        <f>IF(D23&lt;&gt;"","r","")</f>
        <v/>
      </c>
      <c r="D23" s="103" t="str">
        <f>IF(LEFT(L3,3)="Syn","",IF(OR($O$4="L5",$O$4="L6",$O$4="Ju"),"1 element landing on the front or back",""))</f>
        <v/>
      </c>
      <c r="E23" s="103"/>
      <c r="F23" s="103"/>
      <c r="G23" s="104"/>
      <c r="H23" s="53"/>
      <c r="I23" s="42" t="str">
        <f t="shared" ref="I23" si="0">IF(J23&lt;&gt;"","r","")</f>
        <v/>
      </c>
      <c r="J23" s="105" t="str">
        <f>IF(LEFT(L3,3)="Syn","",IF($O$4="L5","One double",""))</f>
        <v/>
      </c>
      <c r="K23" s="105"/>
      <c r="L23" s="105"/>
      <c r="M23" s="106"/>
      <c r="N23" s="53"/>
      <c r="O23" s="45"/>
      <c r="P23" s="2" t="str">
        <f>IF(OR(AND(K20&lt;&gt;"",K20&lt;R3),AND(Q20&lt;&gt;"",Q20&lt;R3)),"Under Min","")</f>
        <v/>
      </c>
      <c r="Q23" s="53"/>
      <c r="R23" s="53"/>
      <c r="S23" s="53"/>
      <c r="T23" s="53"/>
      <c r="U23" s="53"/>
      <c r="V23" s="61"/>
      <c r="W23" s="61"/>
      <c r="X23" s="61"/>
      <c r="Z23" s="62"/>
      <c r="AD23" s="58"/>
      <c r="AE23" s="58"/>
      <c r="AF23" s="58"/>
    </row>
    <row r="24" spans="1:32" x14ac:dyDescent="0.2">
      <c r="A24" s="46"/>
      <c r="B24" s="46"/>
      <c r="C24" s="52" t="str">
        <f t="shared" ref="C24:C27" si="1">IF(D24&lt;&gt;"","r","")</f>
        <v/>
      </c>
      <c r="D24" s="122" t="str">
        <f>IF(LEFT(L3,3)="Syn","",IF(OR($O$4="L5",$O$4="L6",$O$4="Ju"),"1 element taking off from the front or back",""))</f>
        <v/>
      </c>
      <c r="E24" s="122"/>
      <c r="F24" s="122"/>
      <c r="G24" s="123"/>
      <c r="H24" s="53"/>
      <c r="I24" s="107" t="s">
        <v>29</v>
      </c>
      <c r="J24" s="108"/>
      <c r="K24" s="108"/>
      <c r="L24" s="108"/>
      <c r="M24" s="109"/>
      <c r="N24" s="53"/>
      <c r="O24" s="53"/>
      <c r="P24" s="53"/>
      <c r="Q24" s="53"/>
      <c r="R24" s="53"/>
      <c r="S24" s="53"/>
      <c r="T24" s="53"/>
      <c r="U24" s="53"/>
      <c r="V24" s="58"/>
      <c r="AD24" s="58"/>
      <c r="AE24" s="58"/>
      <c r="AF24" s="58"/>
    </row>
    <row r="25" spans="1:32" ht="16" thickBot="1" x14ac:dyDescent="0.25">
      <c r="A25" s="43"/>
      <c r="B25" s="44"/>
      <c r="C25" s="52" t="str">
        <f t="shared" si="1"/>
        <v/>
      </c>
      <c r="D25" s="103" t="str">
        <f>IF(LEFT(L3,3)="Syn","",IF($O$4="L5","42       (Back Full)",IF(OR($O$4="L6",$O$4="Ju"),"1 double salto","")))</f>
        <v/>
      </c>
      <c r="E25" s="103"/>
      <c r="F25" s="103"/>
      <c r="G25" s="104"/>
      <c r="H25" s="53"/>
      <c r="I25" s="42" t="str">
        <f t="shared" ref="I25" si="2">IF(J25&lt;&gt;"","r","")</f>
        <v/>
      </c>
      <c r="J25" s="105" t="str">
        <f>IF(LEFT(L3,3)="Syn","",IF(OR($O$4="L4"),"One double",IF(OR($O$4="L5"),"One double with at least 360˚ twist","")))</f>
        <v/>
      </c>
      <c r="K25" s="105"/>
      <c r="L25" s="105"/>
      <c r="M25" s="106"/>
      <c r="N25" s="53"/>
      <c r="O25" s="43"/>
      <c r="P25" s="2" t="str">
        <f>IF(OR(AND(K20&lt;&gt;"",K20&gt;T3),AND(Q20&lt;&gt;"",Q20&gt;T3)),"Over Max","")</f>
        <v/>
      </c>
      <c r="Q25" s="53"/>
      <c r="R25" s="53"/>
      <c r="S25" s="53"/>
      <c r="T25" s="53"/>
      <c r="U25" s="53"/>
      <c r="V25" s="58"/>
      <c r="AD25" s="58"/>
      <c r="AE25" s="58"/>
      <c r="AF25" s="58"/>
    </row>
    <row r="26" spans="1:32" x14ac:dyDescent="0.2">
      <c r="C26" s="52" t="str">
        <f t="shared" si="1"/>
        <v/>
      </c>
      <c r="D26" s="103" t="str">
        <f>IF(LEFT(L3,3)="Syn","",IF($O$4="L5","43       (Rudi)",IF(OR($O$4="L6",$O$4="Ju"),"1 element with at least 540˚ twist","")))</f>
        <v/>
      </c>
      <c r="E26" s="103"/>
      <c r="F26" s="103"/>
      <c r="G26" s="10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8"/>
      <c r="AD26" s="58"/>
      <c r="AE26" s="58"/>
      <c r="AF26" s="58"/>
    </row>
    <row r="27" spans="1:32" ht="16" thickBot="1" x14ac:dyDescent="0.25">
      <c r="C27" s="42" t="str">
        <f t="shared" si="1"/>
        <v/>
      </c>
      <c r="D27" s="105" t="str">
        <f>IF(LEFT(L3,3)="Syn","",IF($O$4="L5","41&lt;     (Barani Pike)",""))</f>
        <v/>
      </c>
      <c r="E27" s="105"/>
      <c r="F27" s="105"/>
      <c r="G27" s="106"/>
      <c r="H27" s="54"/>
      <c r="I27" s="54"/>
      <c r="J27" s="48" t="str">
        <f>IF(AND(NOT(OR($O$4="L1",$O$4="L2",$O$4="L3",$O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7" s="54"/>
      <c r="L27" s="48" t="str">
        <f>IF(COUNTIF(E10:E19,"N/A")+COUNTIF(K10:K19,"N/A")+COUNTIF(Q10:Q19,"N/A"),"Unknown Skills","")</f>
        <v/>
      </c>
      <c r="M27" s="54"/>
      <c r="N27" s="54"/>
      <c r="O27" s="54"/>
      <c r="P27" s="2" t="str" cm="1">
        <f t="array" ref="P27">IF(OR(AND(O4="Se",OR(NUMFLIPS(J10)&lt;3,NUMFLIPS(J11)&lt;3,NUMFLIPS(J12)&lt;3,NUMFLIPS(J13)&lt;3,NUMFLIPS(J14)&lt;3,NUMFLIPS(J15)&lt;3,NUMFLIPS(J16)&lt;3,NUMFLIPS(J17)&lt;3,NUMFLIPS(J18)&lt;3,NUMFLIPS(J19)&lt;3)),AND(OR($O$4="L5",$O$4="L6",$O$4="Ju",$O$4="Se"),OR(NUMFLIPS(D10)&lt;3,NUMFLIPS(D11)&lt;3,NUMFLIPS(D12)&lt;3,NUMFLIPS(D13)&lt;3,NUMFLIPS(D14)&lt;3,NUMFLIPS(D15)&lt;3,NUMFLIPS(D16)&lt;3,NUMFLIPS(D17)&lt;3,NUMFLIPS(D18)&lt;3,NUMFLIPS(D19)&lt;3))),"&lt; 270˚","")</f>
        <v/>
      </c>
      <c r="Q27" s="54"/>
      <c r="R27" s="54"/>
      <c r="S27" s="54"/>
      <c r="T27" s="54"/>
      <c r="U27" s="54"/>
      <c r="V27" s="58"/>
      <c r="AD27" s="58"/>
      <c r="AE27" s="58"/>
      <c r="AF27" s="58"/>
    </row>
    <row r="28" spans="1:32" x14ac:dyDescent="0.2">
      <c r="V28" s="58"/>
      <c r="AD28" s="58"/>
      <c r="AE28" s="58"/>
      <c r="AF28" s="58"/>
    </row>
    <row r="29" spans="1:32" x14ac:dyDescent="0.2">
      <c r="D29" t="s">
        <v>32</v>
      </c>
      <c r="V29" s="58"/>
      <c r="AD29" s="58"/>
      <c r="AE29" s="58"/>
      <c r="AF29" s="58"/>
    </row>
    <row r="30" spans="1:32" x14ac:dyDescent="0.2">
      <c r="V30" s="58"/>
      <c r="AD30" s="58"/>
      <c r="AE30" s="58"/>
      <c r="AF30" s="58"/>
    </row>
    <row r="31" spans="1:32" x14ac:dyDescent="0.2">
      <c r="V31" s="58"/>
      <c r="AD31" s="58"/>
      <c r="AE31" s="58"/>
      <c r="AF31" s="58"/>
    </row>
    <row r="32" spans="1:32" x14ac:dyDescent="0.2">
      <c r="V32" s="58"/>
      <c r="AD32" s="58"/>
      <c r="AE32" s="58"/>
      <c r="AF32" s="58"/>
    </row>
    <row r="33" spans="22:32" x14ac:dyDescent="0.2">
      <c r="V33" s="58"/>
      <c r="AD33" s="58"/>
      <c r="AE33" s="58"/>
      <c r="AF33" s="58"/>
    </row>
    <row r="34" spans="22:32" x14ac:dyDescent="0.2">
      <c r="V34" s="58"/>
      <c r="AD34" s="58"/>
      <c r="AE34" s="58"/>
      <c r="AF34" s="58"/>
    </row>
    <row r="35" spans="22:32" x14ac:dyDescent="0.2">
      <c r="V35" s="58"/>
      <c r="AD35" s="58"/>
      <c r="AE35" s="58"/>
      <c r="AF35" s="58"/>
    </row>
    <row r="36" spans="22:32" x14ac:dyDescent="0.2">
      <c r="V36" s="58"/>
      <c r="AD36" s="58"/>
      <c r="AE36" s="58"/>
      <c r="AF36" s="58"/>
    </row>
    <row r="37" spans="22:32" x14ac:dyDescent="0.2">
      <c r="V37" s="58"/>
      <c r="AD37" s="58"/>
      <c r="AE37" s="58"/>
      <c r="AF37" s="58"/>
    </row>
    <row r="38" spans="22:32" x14ac:dyDescent="0.2">
      <c r="V38" s="57"/>
      <c r="W38" s="57"/>
      <c r="X38" s="57"/>
      <c r="Y38" s="57"/>
      <c r="Z38" s="57"/>
      <c r="AA38" s="57"/>
      <c r="AB38" s="57"/>
      <c r="AC38" s="57"/>
      <c r="AD38" s="57"/>
    </row>
  </sheetData>
  <sheetProtection algorithmName="SHA-512" hashValue="N26YKOfRaWG5sKRXy74PoW/5CVNjfspFFa2+hmFWOruHkd1MLUoQ2lPx1fNsFC3/6INSry9hGDo4rYIWtYy01g==" saltValue="bmvZ0qWLUX4XrwSzEMmajw==" spinCount="100000" sheet="1" objects="1" scenarios="1"/>
  <mergeCells count="37">
    <mergeCell ref="J23:M23"/>
    <mergeCell ref="I24:M24"/>
    <mergeCell ref="J25:M25"/>
    <mergeCell ref="D23:G23"/>
    <mergeCell ref="D24:G24"/>
    <mergeCell ref="D25:G25"/>
    <mergeCell ref="D26:G26"/>
    <mergeCell ref="D27:G27"/>
    <mergeCell ref="C22:G22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A21:U21"/>
    <mergeCell ref="I8:K8"/>
    <mergeCell ref="L8:M8"/>
    <mergeCell ref="I22:M22"/>
    <mergeCell ref="R10:T19"/>
    <mergeCell ref="R20:T20"/>
    <mergeCell ref="A1:U1"/>
    <mergeCell ref="A20:D20"/>
    <mergeCell ref="F10:F19"/>
    <mergeCell ref="L10:L19"/>
    <mergeCell ref="O8:Q8"/>
    <mergeCell ref="R8:U8"/>
    <mergeCell ref="I9:J9"/>
    <mergeCell ref="O9:P9"/>
    <mergeCell ref="I6:M7"/>
    <mergeCell ref="O6:U7"/>
    <mergeCell ref="A8:E8"/>
    <mergeCell ref="G3:J3"/>
    <mergeCell ref="R9:T9"/>
  </mergeCells>
  <conditionalFormatting sqref="D10:E19">
    <cfRule type="expression" dxfId="20" priority="4">
      <formula>IF(AND(OR($O$4="L5",$O$4="L6",$O$4="Ju",$O$4="Se"),$W10&lt;3),1,0)</formula>
    </cfRule>
    <cfRule type="expression" dxfId="19" priority="19">
      <formula>IF($E10="N/A",1,0)</formula>
    </cfRule>
    <cfRule type="expression" dxfId="18" priority="25">
      <formula>IF(AND(NOT(OR($O$4="L1",$O$4="L2",$O$4="L3",$O$4="L4")),$D10&lt;&gt;"",SUMPRODUCT(--($D$9:$D9=$D10))),1,0)</formula>
    </cfRule>
  </conditionalFormatting>
  <conditionalFormatting sqref="J10:K19">
    <cfRule type="expression" dxfId="17" priority="18">
      <formula>IF($K10="N/A",1,0)</formula>
    </cfRule>
    <cfRule type="expression" dxfId="16" priority="24">
      <formula>IF(AND($J10&lt;&gt;"",$K10=""),1,0)</formula>
    </cfRule>
    <cfRule type="expression" dxfId="15" priority="1">
      <formula>IF(AND($O$4="Se",$X10&lt;3),1,0)</formula>
    </cfRule>
  </conditionalFormatting>
  <conditionalFormatting sqref="Q10:Q19">
    <cfRule type="expression" dxfId="14" priority="23">
      <formula>IF(AND($P10&lt;&gt;"",$Q10=""),1,0)</formula>
    </cfRule>
  </conditionalFormatting>
  <conditionalFormatting sqref="P17:P19">
    <cfRule type="expression" dxfId="13" priority="21">
      <formula>IF(AND($P17&lt;&gt;"",$Q17=""),1,0)</formula>
    </cfRule>
  </conditionalFormatting>
  <conditionalFormatting sqref="P17:Q19 Q10:Q18">
    <cfRule type="expression" dxfId="12" priority="17">
      <formula>IF($Q10="N/A",1,0)</formula>
    </cfRule>
  </conditionalFormatting>
  <conditionalFormatting sqref="J27">
    <cfRule type="expression" dxfId="11" priority="15">
      <formula>IF($J$27="Repetitions",1,0)</formula>
    </cfRule>
  </conditionalFormatting>
  <conditionalFormatting sqref="L27">
    <cfRule type="expression" dxfId="10" priority="13">
      <formula>IF($L$27="Unknown Skills",1,0)</formula>
    </cfRule>
  </conditionalFormatting>
  <conditionalFormatting sqref="K20 Q20">
    <cfRule type="expression" dxfId="9" priority="11">
      <formula>IF(AND(K$20&lt;&gt;"",K$20&gt;$T$3),1,0)</formula>
    </cfRule>
    <cfRule type="expression" dxfId="8" priority="12">
      <formula>IF(AND(K$20&lt;&gt;"",K$20&lt;$R$3),1,0)</formula>
    </cfRule>
  </conditionalFormatting>
  <conditionalFormatting sqref="P16">
    <cfRule type="expression" dxfId="7" priority="9">
      <formula>IF($K16="N/A",1,0)</formula>
    </cfRule>
    <cfRule type="expression" dxfId="6" priority="10">
      <formula>IF(AND($J16&lt;&gt;"",$K16=""),1,0)</formula>
    </cfRule>
  </conditionalFormatting>
  <conditionalFormatting sqref="P23">
    <cfRule type="expression" dxfId="5" priority="8">
      <formula>IF($P$23="Under Min",1,0)</formula>
    </cfRule>
  </conditionalFormatting>
  <conditionalFormatting sqref="P25">
    <cfRule type="expression" dxfId="4" priority="7">
      <formula>IF($P$25="Over Max",1,0)</formula>
    </cfRule>
  </conditionalFormatting>
  <conditionalFormatting sqref="P27">
    <cfRule type="expression" dxfId="3" priority="3">
      <formula>IF($P$27="&lt; 270˚",1,0)</formula>
    </cfRule>
  </conditionalFormatting>
  <conditionalFormatting sqref="A6:G20">
    <cfRule type="expression" dxfId="2" priority="2">
      <formula>IF(AND(LEFT($L$3,3)="Syn",OR($O$4="L5",$O$4="L6")),1,0)</formula>
    </cfRule>
  </conditionalFormatting>
  <conditionalFormatting sqref="P10:Q19">
    <cfRule type="expression" dxfId="1" priority="5">
      <formula>IF($Q10="N/A",1,0)</formula>
    </cfRule>
    <cfRule type="expression" dxfId="0" priority="6">
      <formula>IF(AND($P10&lt;&gt;"",$Q10=""),1,0)</formula>
    </cfRule>
  </conditionalFormatting>
  <dataValidations count="4">
    <dataValidation type="list" showInputMessage="1" showErrorMessage="1" sqref="P3" xr:uid="{00000000-0002-0000-0000-000000000000}">
      <formula1>INDIRECT(Y2)</formula1>
    </dataValidation>
    <dataValidation type="list" allowBlank="1" showInputMessage="1" sqref="D10:D19 J10:J19 P10:P19" xr:uid="{F95A93D4-BF57-7A43-B6E0-C0515AAB5C1A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L3:M3" xr:uid="{B686A3E7-43AD-1946-A24D-ED3F4908F476}">
      <formula1>"Choose:,Individual Women/Femmes,Individual Men/Hommes,Synchro Women/Femmes,Synchro Men/Hommes"</formula1>
    </dataValidation>
    <dataValidation type="list" allowBlank="1" showInputMessage="1" showErrorMessage="1" sqref="O3" xr:uid="{9610E1B4-40C8-B44B-88ED-0F5E8B789C25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&amp;R&amp;"Calibri,Regular"&amp;K0000002020 Version 1.3 (Apr 2020)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22</xdr:col>
                    <xdr:colOff>50800</xdr:colOff>
                    <xdr:row>1</xdr:row>
                    <xdr:rowOff>38100</xdr:rowOff>
                  </from>
                  <to>
                    <xdr:col>22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2020-04-04T17:04:47Z</dcterms:modified>
  <cp:category/>
</cp:coreProperties>
</file>