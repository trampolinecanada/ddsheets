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Events/Done/2018/2018 Nationals/DD Sheets/"/>
    </mc:Choice>
  </mc:AlternateContent>
  <xr:revisionPtr revIDLastSave="0" documentId="13_ncr:1_{F0EC9E56-C450-7F47-BFAB-96808F6046E8}" xr6:coauthVersionLast="40" xr6:coauthVersionMax="40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3" i="1" l="1"/>
  <c r="V3" i="1" l="1"/>
  <c r="S3" i="1"/>
  <c r="U17" i="1" l="1"/>
  <c r="U16" i="1"/>
  <c r="O17" i="1"/>
  <c r="O16" i="1"/>
  <c r="C17" i="1"/>
  <c r="C16" i="1"/>
  <c r="I17" i="1"/>
  <c r="I16" i="1"/>
  <c r="U12" i="1"/>
  <c r="U13" i="1"/>
  <c r="U15" i="1"/>
  <c r="U11" i="1"/>
  <c r="U14" i="1"/>
  <c r="U10" i="1"/>
  <c r="O14" i="1"/>
  <c r="O15" i="1"/>
  <c r="O13" i="1"/>
  <c r="O10" i="1"/>
  <c r="O12" i="1"/>
  <c r="O11" i="1"/>
  <c r="I11" i="1"/>
  <c r="I14" i="1"/>
  <c r="I15" i="1"/>
  <c r="I12" i="1"/>
  <c r="I13" i="1"/>
  <c r="I10" i="1"/>
  <c r="C15" i="1"/>
  <c r="C14" i="1"/>
  <c r="C13" i="1"/>
  <c r="C12" i="1"/>
  <c r="C11" i="1"/>
  <c r="C10" i="1"/>
  <c r="G25" i="1" l="1"/>
  <c r="A25" i="1"/>
  <c r="H26" i="1"/>
  <c r="G26" i="1" s="1"/>
  <c r="B26" i="1"/>
  <c r="A26" i="1" s="1"/>
  <c r="H22" i="1"/>
  <c r="G22" i="1" s="1"/>
  <c r="B22" i="1"/>
  <c r="A22" i="1" s="1"/>
  <c r="T22" i="1"/>
  <c r="S22" i="1" s="1"/>
  <c r="N22" i="1"/>
  <c r="M22" i="1" s="1"/>
  <c r="B23" i="1"/>
  <c r="S23" i="1" l="1"/>
  <c r="M23" i="1"/>
  <c r="G23" i="1"/>
  <c r="A23" i="1"/>
  <c r="O18" i="1" l="1"/>
  <c r="O19" i="1" s="1"/>
  <c r="C18" i="1"/>
  <c r="C19" i="1" s="1"/>
  <c r="U18" i="1"/>
  <c r="U19" i="1" s="1"/>
  <c r="I18" i="1"/>
  <c r="I19" i="1" s="1"/>
</calcChain>
</file>

<file path=xl/sharedStrings.xml><?xml version="1.0" encoding="utf-8"?>
<sst xmlns="http://schemas.openxmlformats.org/spreadsheetml/2006/main" count="88" uniqueCount="31">
  <si>
    <t>1.</t>
  </si>
  <si>
    <t>2.</t>
  </si>
  <si>
    <t>3.</t>
  </si>
  <si>
    <t>4.</t>
  </si>
  <si>
    <t>5.</t>
  </si>
  <si>
    <t>6.</t>
  </si>
  <si>
    <t>7.</t>
  </si>
  <si>
    <t>8.</t>
  </si>
  <si>
    <t>Total DD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</si>
  <si>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</si>
  <si>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</si>
  <si>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</si>
  <si>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</si>
  <si>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</si>
  <si>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</si>
  <si>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</si>
  <si>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</si>
  <si>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</si>
  <si>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2nd Final / 2ème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</si>
  <si>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</si>
  <si>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</si>
  <si>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</si>
  <si>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</si>
  <si>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</si>
  <si>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</si>
  <si>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</si>
  <si>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Max DD</t>
  </si>
  <si>
    <t>Requirements:</t>
  </si>
  <si>
    <t>Mobility Element:</t>
  </si>
  <si>
    <t>Choose:</t>
  </si>
  <si>
    <t>3 Pass Max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</si>
</sst>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6" xfId="0" applyBorder="1"/>
    <xf numFmtId="0" fontId="0" fillId="0" borderId="5" xfId="0" applyBorder="1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vertical="center"/>
    </xf>
    <xf numFmtId="0" fontId="2" fillId="0" borderId="12" xfId="0" applyFont="1" applyBorder="1"/>
    <xf numFmtId="0" fontId="2" fillId="0" borderId="14" xfId="0" applyFont="1" applyBorder="1"/>
    <xf numFmtId="0" fontId="2" fillId="0" borderId="9" xfId="0" applyFont="1" applyBorder="1"/>
    <xf numFmtId="0" fontId="2" fillId="0" borderId="15" xfId="0" applyFont="1" applyBorder="1" applyAlignment="1">
      <alignment horizontal="right"/>
    </xf>
    <xf numFmtId="0" fontId="2" fillId="0" borderId="6" xfId="0" applyFont="1" applyBorder="1"/>
    <xf numFmtId="0" fontId="2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2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7" fillId="0" borderId="24" xfId="0" applyFont="1" applyBorder="1"/>
    <xf numFmtId="0" fontId="7" fillId="0" borderId="16" xfId="0" applyFont="1" applyBorder="1"/>
    <xf numFmtId="0" fontId="0" fillId="0" borderId="0" xfId="0" applyBorder="1"/>
    <xf numFmtId="0" fontId="7" fillId="0" borderId="0" xfId="0" applyFont="1" applyBorder="1"/>
    <xf numFmtId="0" fontId="0" fillId="2" borderId="0" xfId="0" applyFill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left"/>
    </xf>
    <xf numFmtId="0" fontId="0" fillId="2" borderId="0" xfId="0" applyFont="1" applyFill="1" applyBorder="1" applyAlignment="1" applyProtection="1">
      <alignment horizontal="center"/>
      <protection locked="0"/>
    </xf>
    <xf numFmtId="164" fontId="0" fillId="2" borderId="0" xfId="0" applyNumberFormat="1" applyFont="1" applyFill="1" applyBorder="1" applyAlignment="1" applyProtection="1">
      <alignment horizontal="center"/>
    </xf>
    <xf numFmtId="0" fontId="2" fillId="0" borderId="7" xfId="0" applyFont="1" applyBorder="1" applyAlignment="1" applyProtection="1">
      <alignment horizontal="right"/>
    </xf>
    <xf numFmtId="0" fontId="2" fillId="0" borderId="8" xfId="0" applyFont="1" applyBorder="1" applyAlignment="1" applyProtection="1">
      <alignment horizontal="right"/>
    </xf>
    <xf numFmtId="0" fontId="2" fillId="0" borderId="5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3" borderId="0" xfId="0" applyFont="1" applyFill="1" applyBorder="1" applyAlignment="1" applyProtection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8" fillId="0" borderId="0" xfId="0" applyFont="1" applyBorder="1" applyAlignment="1"/>
    <xf numFmtId="0" fontId="8" fillId="0" borderId="25" xfId="0" applyFont="1" applyBorder="1" applyAlignment="1"/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2" fillId="0" borderId="2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8" fillId="0" borderId="26" xfId="0" applyFont="1" applyBorder="1" applyAlignment="1"/>
    <xf numFmtId="0" fontId="8" fillId="0" borderId="27" xfId="0" applyFont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2"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A26"/>
  <sheetViews>
    <sheetView tabSelected="1" zoomScale="160" zoomScaleNormal="160" workbookViewId="0">
      <selection activeCell="C10" sqref="C10:C14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5" customWidth="1"/>
    <col min="23" max="23" width="5.33203125" customWidth="1"/>
  </cols>
  <sheetData>
    <row r="1" spans="1:27" ht="22" thickBot="1" x14ac:dyDescent="0.3">
      <c r="A1" s="55" t="s">
        <v>19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6"/>
      <c r="S1" s="56"/>
      <c r="T1" s="56"/>
      <c r="U1" s="56"/>
      <c r="V1" s="56"/>
      <c r="W1" s="56"/>
    </row>
    <row r="2" spans="1:27" ht="19" customHeight="1" x14ac:dyDescent="0.2">
      <c r="A2" s="17"/>
      <c r="B2" s="18" t="s">
        <v>22</v>
      </c>
      <c r="C2" s="18"/>
      <c r="D2" s="18"/>
      <c r="E2" s="18"/>
      <c r="F2" s="18"/>
      <c r="G2" s="18" t="s">
        <v>23</v>
      </c>
      <c r="H2" s="18"/>
      <c r="I2" s="18"/>
      <c r="J2" s="18"/>
      <c r="K2" s="18"/>
      <c r="L2" s="18" t="s">
        <v>24</v>
      </c>
      <c r="M2" s="18"/>
      <c r="N2" s="18"/>
      <c r="O2" s="18"/>
      <c r="P2" s="18" t="s">
        <v>25</v>
      </c>
      <c r="Q2" s="18"/>
      <c r="R2" s="18"/>
      <c r="S2" s="58" t="s">
        <v>26</v>
      </c>
      <c r="T2" s="58"/>
      <c r="U2" s="18"/>
      <c r="V2" s="18" t="s">
        <v>30</v>
      </c>
      <c r="W2" s="19"/>
    </row>
    <row r="3" spans="1:27" ht="19" customHeight="1" x14ac:dyDescent="0.2">
      <c r="A3" s="20"/>
      <c r="B3" s="57"/>
      <c r="C3" s="57"/>
      <c r="D3" s="57"/>
      <c r="E3" s="21"/>
      <c r="F3" s="21"/>
      <c r="G3" s="57"/>
      <c r="H3" s="57"/>
      <c r="I3" s="57"/>
      <c r="J3" s="57"/>
      <c r="L3" s="59" t="s">
        <v>29</v>
      </c>
      <c r="M3" s="59"/>
      <c r="N3" s="59"/>
      <c r="O3" s="21"/>
      <c r="P3" s="33" t="s">
        <v>29</v>
      </c>
      <c r="Q3" s="21"/>
      <c r="R3" s="21"/>
      <c r="S3" s="60" t="str">
        <f>IF(OR($L$3="Choose:",$P$3="Choose:"),"",IF(AND($L$3="Women/Femmes",OR($P$3="L5-Novice 15U",$P$3="L5-Novice 16+")),3.6,IF(AND($L$3="Men/Hommes",OR($P$3="L5-Novice 15U",$P$3="L5-Novice 16+")),3.9,IF(AND($L$3="Women/Femmes",$P$3="L6-Espoir"),4.3,IF(AND($L$3="Men/Hommes",$P$3="L6-Espoir"),5.1,"No Max")))))</f>
        <v/>
      </c>
      <c r="T3" s="60"/>
      <c r="U3" s="21"/>
      <c r="V3" s="38" t="str">
        <f>IF(OR($P$3="L5-Novice 15U",$P$3="L5-Novice 16+"),2.6,"N/A")</f>
        <v>N/A</v>
      </c>
      <c r="W3" s="22"/>
    </row>
    <row r="4" spans="1:27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5"/>
    </row>
    <row r="5" spans="1:27" ht="8.25" customHeight="1" thickBot="1" x14ac:dyDescent="0.25"/>
    <row r="6" spans="1:27" s="3" customFormat="1" ht="15" customHeight="1" x14ac:dyDescent="0.25">
      <c r="A6" s="43" t="s">
        <v>15</v>
      </c>
      <c r="B6" s="44"/>
      <c r="C6" s="44"/>
      <c r="D6" s="44"/>
      <c r="E6" s="45"/>
      <c r="G6" s="43" t="s">
        <v>16</v>
      </c>
      <c r="H6" s="44"/>
      <c r="I6" s="44"/>
      <c r="J6" s="44"/>
      <c r="K6" s="45"/>
      <c r="L6" s="4"/>
      <c r="M6" s="43" t="s">
        <v>17</v>
      </c>
      <c r="N6" s="44"/>
      <c r="O6" s="44"/>
      <c r="P6" s="44"/>
      <c r="Q6" s="45"/>
      <c r="R6" s="4"/>
      <c r="S6" s="43" t="s">
        <v>18</v>
      </c>
      <c r="T6" s="44"/>
      <c r="U6" s="44"/>
      <c r="V6" s="44"/>
      <c r="W6" s="45"/>
    </row>
    <row r="7" spans="1:27" ht="19" x14ac:dyDescent="0.25">
      <c r="A7" s="46"/>
      <c r="B7" s="47"/>
      <c r="C7" s="47"/>
      <c r="D7" s="47"/>
      <c r="E7" s="48"/>
      <c r="G7" s="46"/>
      <c r="H7" s="47"/>
      <c r="I7" s="47"/>
      <c r="J7" s="47"/>
      <c r="K7" s="48"/>
      <c r="L7" s="5"/>
      <c r="M7" s="46"/>
      <c r="N7" s="47"/>
      <c r="O7" s="47"/>
      <c r="P7" s="47"/>
      <c r="Q7" s="48"/>
      <c r="R7" s="5"/>
      <c r="S7" s="46"/>
      <c r="T7" s="47"/>
      <c r="U7" s="47"/>
      <c r="V7" s="47"/>
      <c r="W7" s="48"/>
    </row>
    <row r="8" spans="1:27" s="8" customFormat="1" ht="20.25" customHeight="1" x14ac:dyDescent="0.2">
      <c r="A8" s="51" t="s">
        <v>12</v>
      </c>
      <c r="B8" s="52"/>
      <c r="C8" s="52"/>
      <c r="D8" s="53" t="s">
        <v>13</v>
      </c>
      <c r="E8" s="54"/>
      <c r="G8" s="51" t="s">
        <v>12</v>
      </c>
      <c r="H8" s="52"/>
      <c r="I8" s="52"/>
      <c r="J8" s="53" t="s">
        <v>13</v>
      </c>
      <c r="K8" s="54"/>
      <c r="M8" s="51" t="s">
        <v>12</v>
      </c>
      <c r="N8" s="52"/>
      <c r="O8" s="52"/>
      <c r="P8" s="53" t="s">
        <v>13</v>
      </c>
      <c r="Q8" s="54"/>
      <c r="S8" s="51" t="s">
        <v>12</v>
      </c>
      <c r="T8" s="52"/>
      <c r="U8" s="52"/>
      <c r="V8" s="53" t="s">
        <v>13</v>
      </c>
      <c r="W8" s="54"/>
    </row>
    <row r="9" spans="1:27" s="3" customFormat="1" ht="16" thickBot="1" x14ac:dyDescent="0.25">
      <c r="A9" s="41" t="s">
        <v>11</v>
      </c>
      <c r="B9" s="42"/>
      <c r="C9" s="14" t="s">
        <v>9</v>
      </c>
      <c r="D9" s="10"/>
      <c r="E9" s="9" t="s">
        <v>9</v>
      </c>
      <c r="G9" s="41" t="s">
        <v>11</v>
      </c>
      <c r="H9" s="42"/>
      <c r="I9" s="14" t="s">
        <v>9</v>
      </c>
      <c r="J9" s="10"/>
      <c r="K9" s="9" t="s">
        <v>9</v>
      </c>
      <c r="M9" s="41" t="s">
        <v>11</v>
      </c>
      <c r="N9" s="42"/>
      <c r="O9" s="14" t="s">
        <v>9</v>
      </c>
      <c r="P9" s="14"/>
      <c r="Q9" s="9" t="s">
        <v>9</v>
      </c>
      <c r="S9" s="41" t="s">
        <v>11</v>
      </c>
      <c r="T9" s="42"/>
      <c r="U9" s="14" t="s">
        <v>9</v>
      </c>
      <c r="V9" s="14"/>
      <c r="W9" s="9" t="s">
        <v>9</v>
      </c>
    </row>
    <row r="10" spans="1:27" ht="20.25" customHeight="1" thickTop="1" x14ac:dyDescent="0.2">
      <c r="A10" s="15" t="s">
        <v>0</v>
      </c>
      <c r="B10" s="29"/>
      <c r="C10" s="28" t="str">
        <f>IF(B10="","",TUMDD(B10))</f>
        <v/>
      </c>
      <c r="D10" s="49"/>
      <c r="E10" s="7"/>
      <c r="G10" s="6" t="s">
        <v>0</v>
      </c>
      <c r="H10" s="29"/>
      <c r="I10" s="28" t="str">
        <f>IF(H10="","",IF(AND(H10=B10,H10&lt;&gt;"(",H10&lt;&gt;"f",H10&lt;&gt;"^"),"",TUMDD(H10)))</f>
        <v/>
      </c>
      <c r="J10" s="49"/>
      <c r="K10" s="7"/>
      <c r="M10" s="6" t="s">
        <v>0</v>
      </c>
      <c r="N10" s="29"/>
      <c r="O10" s="28" t="str">
        <f>IF(N10="","",TUMDD(N10))</f>
        <v/>
      </c>
      <c r="P10" s="39"/>
      <c r="Q10" s="7"/>
      <c r="S10" s="6" t="s">
        <v>0</v>
      </c>
      <c r="T10" s="29"/>
      <c r="U10" s="28" t="str">
        <f>IF(T10="","",IF(AND(T10=N10,T10&lt;&gt;"(",T10&lt;&gt;"f",T10&lt;&gt;"^"),"",TUMDD(T10)))</f>
        <v/>
      </c>
      <c r="V10" s="39"/>
      <c r="W10" s="7"/>
      <c r="AA10" s="32"/>
    </row>
    <row r="11" spans="1:27" ht="20.25" customHeight="1" x14ac:dyDescent="0.2">
      <c r="A11" s="16" t="s">
        <v>1</v>
      </c>
      <c r="B11" s="26"/>
      <c r="C11" s="28" t="str">
        <f>IF(B11="","",TUMDD(B11))</f>
        <v/>
      </c>
      <c r="D11" s="50"/>
      <c r="E11" s="1"/>
      <c r="G11" s="2" t="s">
        <v>1</v>
      </c>
      <c r="H11" s="26"/>
      <c r="I11" s="28" t="str">
        <f>IF(H11="","",IF(AND(OR(AND(H11=B$16,H10=B$15),AND(H11=B$15,H10=B$14),AND(H11=B$14,H10=B$13),AND(H11=B$13,H10=B$12),AND(H11=B$12,H10=B$11),AND(H11=B$11,H10=B$10),AND(H11=B$17,H10=B$16)),H11&lt;&gt;"(",H11&lt;&gt;"f",H11&lt;&gt;"^"),"",TUMDD(H11)))</f>
        <v/>
      </c>
      <c r="J11" s="50"/>
      <c r="K11" s="1"/>
      <c r="M11" s="2" t="s">
        <v>1</v>
      </c>
      <c r="N11" s="26"/>
      <c r="O11" s="28" t="str">
        <f>IF(N11="","",TUMDD(N11))</f>
        <v/>
      </c>
      <c r="P11" s="40"/>
      <c r="Q11" s="1"/>
      <c r="S11" s="2" t="s">
        <v>1</v>
      </c>
      <c r="T11" s="26"/>
      <c r="U11" s="28" t="str">
        <f>IF(T11="","",IF(AND(OR(AND(T11=N$16,T10=N$15),AND(T11=N$15,T10=N$14),AND(T11=N$14,T10=N$13),AND(T11=N$13,T10=N$12),AND(T11=N$12,T10=N$11),AND(T11=N$11,T10=N$10),AND(T11=N$17,T10=N$16)),T11&lt;&gt;"(",T11&lt;&gt;"f",T11&lt;&gt;"^"),"",TUMDD(T11)))</f>
        <v/>
      </c>
      <c r="V11" s="40"/>
      <c r="W11" s="1"/>
    </row>
    <row r="12" spans="1:27" ht="20.25" customHeight="1" x14ac:dyDescent="0.2">
      <c r="A12" s="16" t="s">
        <v>2</v>
      </c>
      <c r="B12" s="26"/>
      <c r="C12" s="28" t="str">
        <f>IF(B12="","",IF(AND(OR(AND(B12=B11,B11=B10)),B12&lt;&gt;"(",B12&lt;&gt;"f",B12&lt;&gt;"^"),"",TUMDD(B12)))</f>
        <v/>
      </c>
      <c r="D12" s="50"/>
      <c r="E12" s="1"/>
      <c r="G12" s="2" t="s">
        <v>2</v>
      </c>
      <c r="H12" s="26"/>
      <c r="I12" s="28" t="str">
        <f>IF(H12="","",IF(AND(OR(AND(H12=B$16,H11=B$15),AND(H12=B$15,H11=B$14),AND(H12=B$14,H11=B$13),AND(H12=B$13,H11=B$12),AND(H12=B$12,H11=B$11),AND(H12=B$11,H11=B$10),AND(H12=B$17,H11=B$16),AND(H12=H11,H11=H10)),H12&lt;&gt;"(",H12&lt;&gt;"f",H12&lt;&gt;"^"),"",TUMDD(H12)))</f>
        <v/>
      </c>
      <c r="J12" s="50"/>
      <c r="K12" s="1"/>
      <c r="M12" s="2" t="s">
        <v>2</v>
      </c>
      <c r="N12" s="26"/>
      <c r="O12" s="28" t="str">
        <f>IF(N12="","",IF(AND(OR(AND(N12=N11,N11=N10)),N12&lt;&gt;"(",N12&lt;&gt;"f",N12&lt;&gt;"^"),"",TUMDD(N12)))</f>
        <v/>
      </c>
      <c r="P12" s="40"/>
      <c r="Q12" s="1"/>
      <c r="S12" s="2" t="s">
        <v>2</v>
      </c>
      <c r="T12" s="26"/>
      <c r="U12" s="28" t="str">
        <f>IF(T12="","",IF(AND(OR(AND(T12=N$16,T11=N$15),AND(T12=N$15,T11=N$14),AND(T12=N$14,T11=N$13),AND(T12=N$13,T11=N$12),AND(T12=N$12,T11=N$11),AND(T12=N$11,T11=N$10),AND(T12=N$17,T11=N$16),AND(T12=T11,T11=T10)),T12&lt;&gt;"(",T12&lt;&gt;"f",T12&lt;&gt;"^"),"",TUMDD(T12)))</f>
        <v/>
      </c>
      <c r="V12" s="40"/>
      <c r="W12" s="1"/>
    </row>
    <row r="13" spans="1:27" ht="20.25" customHeight="1" x14ac:dyDescent="0.2">
      <c r="A13" s="16" t="s">
        <v>3</v>
      </c>
      <c r="B13" s="26"/>
      <c r="C13" s="28" t="str">
        <f>IF(B13="","",IF(AND(OR(AND(B13=B12,B12=B11),AND(B13=B11,B12=B10)),B13&lt;&gt;"(",B13&lt;&gt;"f",B13&lt;&gt;"^"),"",TUMDD(B13)))</f>
        <v/>
      </c>
      <c r="D13" s="50"/>
      <c r="E13" s="1"/>
      <c r="G13" s="2" t="s">
        <v>3</v>
      </c>
      <c r="H13" s="26"/>
      <c r="I13" s="28" t="str">
        <f>IF(H13="","",IF(AND(OR(AND(H13=B$16,H12=B$15),AND(H13=B$15,H12=B$14),AND(H13=B$14,H12=B$13),AND(H13=B$13,H12=B$12),AND(H13=B$12,H12=B$11),AND(H13=B$11,H12=B$10),AND(H13=B$17,H12=B$16),AND(H13=H12,H12=H11),AND(H13=H11,H12=H10)),H13&lt;&gt;"(",H13&lt;&gt;"f",H13&lt;&gt;"^"),"",TUMDD(H13)))</f>
        <v/>
      </c>
      <c r="J13" s="50"/>
      <c r="K13" s="1"/>
      <c r="M13" s="2" t="s">
        <v>3</v>
      </c>
      <c r="N13" s="26"/>
      <c r="O13" s="28" t="str">
        <f>IF(N13="","",IF(AND(OR(AND(N13=N12,N12=N11),AND(N13=N11,N12=N10)),N13&lt;&gt;"(",N13&lt;&gt;"f",N13&lt;&gt;"^"),"",TUMDD(N13)))</f>
        <v/>
      </c>
      <c r="P13" s="40"/>
      <c r="Q13" s="1"/>
      <c r="S13" s="2" t="s">
        <v>3</v>
      </c>
      <c r="T13" s="26"/>
      <c r="U13" s="28" t="str">
        <f>IF(T13="","",IF(AND(OR(AND(T13=N$16,T12=N$15),AND(T13=N$15,T12=N$14),AND(T13=N$14,T12=N$13),AND(T13=N$13,T12=N$12),AND(T13=N$12,T12=N$11),AND(T13=N$11,T12=N$10),AND(T13=N$17,T12=N$16),AND(T13=T12,T12=T11),AND(T13=T11,T12=T10)),T13&lt;&gt;"(",T13&lt;&gt;"f",T13&lt;&gt;"^"),"",TUMDD(T13)))</f>
        <v/>
      </c>
      <c r="V13" s="40"/>
      <c r="W13" s="1"/>
      <c r="Y13" s="31"/>
    </row>
    <row r="14" spans="1:27" ht="20.25" customHeight="1" x14ac:dyDescent="0.2">
      <c r="A14" s="16" t="s">
        <v>4</v>
      </c>
      <c r="B14" s="26"/>
      <c r="C14" s="28" t="str">
        <f>IF(B14="","",IF(AND(OR(AND(B14=B13,B13=B12),AND(B14=B12,B13=B11),AND(B14=B11,B13=B10)),B14&lt;&gt;"(",B14&lt;&gt;"f",B14&lt;&gt;"^"),"",TUMDD(B14)))</f>
        <v/>
      </c>
      <c r="D14" s="50"/>
      <c r="E14" s="1"/>
      <c r="G14" s="2" t="s">
        <v>4</v>
      </c>
      <c r="H14" s="26"/>
      <c r="I14" s="28" t="str">
        <f>IF(H14="","",IF(AND(OR(AND(H14=B$16,H13=B$15),AND(H14=B$15,H13=B$14),AND(H14=B$14,H13=B$13),AND(H14=B$13,H13=B$12),AND(H14=B$12,H13=B$11),AND(H14=B$11,H13=B$10),AND(H14=B$17,H13=B$16),AND(H14=H13,H13=H12),AND(H14=H12,H13=H11),AND(H14=H11,H13=H10)),H14&lt;&gt;"(",H14&lt;&gt;"f",H14&lt;&gt;"^"),"",TUMDD(H14)))</f>
        <v/>
      </c>
      <c r="J14" s="50"/>
      <c r="K14" s="1"/>
      <c r="M14" s="2" t="s">
        <v>4</v>
      </c>
      <c r="N14" s="26"/>
      <c r="O14" s="28" t="str">
        <f>IF(N14="","",IF(AND(OR(AND(N14=N13,N13=N12),AND(N14=N12,N13=N11),AND(N14=N11,N13=N10)),N14&lt;&gt;"(",N14&lt;&gt;"f",N14&lt;&gt;"^"),"",TUMDD(N14)))</f>
        <v/>
      </c>
      <c r="P14" s="40"/>
      <c r="Q14" s="1"/>
      <c r="S14" s="2" t="s">
        <v>4</v>
      </c>
      <c r="T14" s="26"/>
      <c r="U14" s="28" t="str">
        <f>IF(T14="","",IF(AND(OR(AND(T14=N$16,T13=N$15),AND(T14=N$15,T13=N$14),AND(T14=N$14,T13=N$13),AND(T14=N$13,T13=N$12),AND(T14=N$12,T13=N$11),AND(T14=N$11,T13=N$10),AND(T14=N$17,T13=N$16),AND(T14=T13,T13=T12),AND(T14=T12,T13=T11),AND(T14=T11,T13=T10)),T14&lt;&gt;"(",T14&lt;&gt;"f",T14&lt;&gt;"^"),"",TUMDD(T14)))</f>
        <v/>
      </c>
      <c r="V14" s="40"/>
      <c r="W14" s="1"/>
      <c r="Y14" s="30"/>
      <c r="Z14" s="30"/>
    </row>
    <row r="15" spans="1:27" ht="20.25" customHeight="1" x14ac:dyDescent="0.2">
      <c r="A15" s="16" t="s">
        <v>5</v>
      </c>
      <c r="B15" s="26"/>
      <c r="C15" s="28" t="str">
        <f>IF(B15="","",IF(AND(OR(AND(B15=B14,B14=B13),AND(B15=B13,B14=B12),AND(B15=B12,B14=B11),AND(B15=B11,B14=B10)),B15&lt;&gt;"(",B15&lt;&gt;"f",B15&lt;&gt;"^"),"",TUMDD(B15)))</f>
        <v/>
      </c>
      <c r="D15" s="50"/>
      <c r="E15" s="1"/>
      <c r="G15" s="2" t="s">
        <v>5</v>
      </c>
      <c r="H15" s="26"/>
      <c r="I15" s="28" t="str">
        <f>IF(H15="","",IF(AND(OR(AND(H15=B$16,H14=B$15),AND(H15=B$15,H14=B$14),AND(H15=B$14,H14=B$13),AND(H15=B$13,H14=B$12),AND(H15=B$12,H14=B$11),AND(H15=B$11,H14=B$10),AND(H15=B$17,H14=B$16),AND(H15=H14,H14=H13),AND(H15=H13,H14=H12),AND(H15=H12,H14=H11),AND(H15=H11,H14=H10)),H15&lt;&gt;"(",H15&lt;&gt;"f",H15&lt;&gt;"^"),"",TUMDD(H15)))</f>
        <v/>
      </c>
      <c r="J15" s="50"/>
      <c r="K15" s="1"/>
      <c r="M15" s="2" t="s">
        <v>5</v>
      </c>
      <c r="N15" s="26"/>
      <c r="O15" s="28" t="str">
        <f>IF(N15="","",IF(AND(OR(AND(N15=N14,N14=N13),AND(N15=N13,N14=N12),AND(N15=N12,N14=N11),AND(N15=N11,N14=N10)),N15&lt;&gt;"(",N15&lt;&gt;"f",N15&lt;&gt;"^"),"",TUMDD(N15)))</f>
        <v/>
      </c>
      <c r="P15" s="40"/>
      <c r="Q15" s="1"/>
      <c r="S15" s="2" t="s">
        <v>5</v>
      </c>
      <c r="T15" s="26"/>
      <c r="U15" s="28" t="str">
        <f>IF(T15="","",IF(AND(OR(AND(T15=N$16,T14=N$15),AND(T15=N$15,T14=N$14),AND(T15=N$14,T14=N$13),AND(T15=N$13,T14=N$12),AND(T15=N$12,T14=N$11),AND(T15=N$11,T14=N$10),AND(T15=N$17,T14=N$16),AND(T15=T14,T14=T13),AND(T15=T13,T14=T12),AND(T15=T12,T14=T11),AND(T15=T11,T14=T10)),T15&lt;&gt;"(",T15&lt;&gt;"f",T15&lt;&gt;"^"),"",TUMDD(T15)))</f>
        <v/>
      </c>
      <c r="V15" s="40"/>
      <c r="W15" s="1"/>
      <c r="Y15" s="30"/>
    </row>
    <row r="16" spans="1:27" ht="20.25" customHeight="1" x14ac:dyDescent="0.2">
      <c r="A16" s="16" t="s">
        <v>6</v>
      </c>
      <c r="B16" s="26"/>
      <c r="C16" s="28" t="str">
        <f>IF(B16="","",IF(AND(OR(AND(B16=B15,B15=B14),AND(B16=B14,B15=B13),AND(B16=B13,B15=B12),AND(B16=B12,B15=B11),AND(B16=B11,B15=B10)),B16&lt;&gt;"(",B16&lt;&gt;"f",B16&lt;&gt;"^"),"",TUMDD(B16)))</f>
        <v/>
      </c>
      <c r="D16" s="50"/>
      <c r="E16" s="1"/>
      <c r="G16" s="2" t="s">
        <v>6</v>
      </c>
      <c r="H16" s="26"/>
      <c r="I16" s="28" t="str">
        <f>IF(H16="","",IF(AND(OR(AND(H16=B$16,H15=B$15),AND(H16=B$15,H15=B$14),AND(H16=B$14,H15=B$13),AND(H16=B$13,H15=B$12),AND(H16=B$12,H15=B$11),AND(H16=B$11,H15=B$10),AND(H16=B$17,H15=B$16),AND(H16=H15,H15=H14),AND(H16=H14,H15=H13),AND(H16=H13,H15=H12),AND(H16=H12,H15=H11),AND(H16=H11,H15=H10)),H16&lt;&gt;"(",H16&lt;&gt;"f",H16&lt;&gt;"^"),"",TUMDD(H16)))</f>
        <v/>
      </c>
      <c r="J16" s="50"/>
      <c r="K16" s="1"/>
      <c r="M16" s="2" t="s">
        <v>6</v>
      </c>
      <c r="N16" s="26"/>
      <c r="O16" s="28" t="str">
        <f>IF(N16="","",IF(AND(OR(AND(N16=N15,N15=N14),AND(N16=N14,N15=N13),AND(N16=N13,N15=N12),AND(N16=N12,N15=N11),AND(N16=N11,N15=N10)),N16&lt;&gt;"(",N16&lt;&gt;"f",N16&lt;&gt;"^"),"",TUMDD(N16)))</f>
        <v/>
      </c>
      <c r="P16" s="40"/>
      <c r="Q16" s="1"/>
      <c r="S16" s="2" t="s">
        <v>6</v>
      </c>
      <c r="T16" s="26"/>
      <c r="U16" s="28" t="str">
        <f>IF(T16="","",IF(AND(OR(AND(T16=N$16,T15=N$15),AND(T16=N$15,T15=N$14),AND(T16=N$14,T15=N$13),AND(T16=N$13,T15=N$12),AND(T16=N$12,T15=N$11),AND(T16=N$11,T15=N$10),AND(T16=N$17,T15=N$16),AND(T16=T15,T15=T14),AND(T16=T14,T15=T13),AND(T16=T13,T15=T12),AND(T16=T12,T15=T11),AND(T16=T11,T15=T10)),T16&lt;&gt;"(",T16&lt;&gt;"f",T16&lt;&gt;"^"),"",TUMDD(T16)))</f>
        <v/>
      </c>
      <c r="V16" s="40"/>
      <c r="W16" s="1"/>
    </row>
    <row r="17" spans="1:26" ht="20.25" customHeight="1" x14ac:dyDescent="0.2">
      <c r="A17" s="16" t="s">
        <v>7</v>
      </c>
      <c r="B17" s="26"/>
      <c r="C17" s="28" t="str">
        <f>IF(B17="","",IF(AND(OR(AND(B17=B16,B16=B15),AND(B17=B15,B16=B14),AND(B17=B14,B16=B13),AND(B17=B13,B16=B12),AND(B17=B12,B16=B11),AND(B17=B11,B16=B10)),B17&lt;&gt;"(",B17&lt;&gt;"f",B17&lt;&gt;"^"),"",TUMDD(B17)))</f>
        <v/>
      </c>
      <c r="D17" s="50"/>
      <c r="E17" s="1"/>
      <c r="G17" s="2" t="s">
        <v>7</v>
      </c>
      <c r="H17" s="26"/>
      <c r="I17" s="28" t="str">
        <f>IF(H17="","",IF(AND(OR(AND(H17=B$16,H16=B$15),AND(H17=B$15,H16=B$14),AND(H17=B$14,H16=B$13),AND(H17=B$13,H16=B$12),AND(H17=B$12,H16=B$11),AND(H17=B$11,H16=B$10),AND(H17=B$17,H16=B$16),AND(H17=H16,H16=H15),AND(H17=H15,H16=H14),AND(H17=H14,H16=H13),AND(H17=H13,H16=H12),AND(H17=H12,H16=H11),AND(H17=H11,H16=H10)),H17&lt;&gt;"(",H17&lt;&gt;"f",H17&lt;&gt;"^"),"",TUMDD(H17)))</f>
        <v/>
      </c>
      <c r="J17" s="50"/>
      <c r="K17" s="1"/>
      <c r="M17" s="2" t="s">
        <v>7</v>
      </c>
      <c r="N17" s="26"/>
      <c r="O17" s="28" t="str">
        <f>IF(N17="","",IF(AND(OR(AND(N17=N16,N16=N15),AND(N17=N15,N16=N14),AND(N17=N14,N16=N13),AND(N17=N13,N16=N12),AND(N17=N12,N16=N11),AND(N17=N11,N16=N10)),N17&lt;&gt;"(",N17&lt;&gt;"f",N17&lt;&gt;"^"),"",TUMDD(N17)))</f>
        <v/>
      </c>
      <c r="P17" s="40"/>
      <c r="Q17" s="1"/>
      <c r="S17" s="2" t="s">
        <v>7</v>
      </c>
      <c r="T17" s="26"/>
      <c r="U17" s="28" t="str">
        <f>IF(T17="","",IF(AND(OR(AND(T17=N$16,T16=N$15),AND(T17=N$15,T16=N$14),AND(T17=N$14,T16=N$13),AND(T17=N$13,T16=N$12),AND(T17=N$12,T16=N$11),AND(T17=N$11,T16=N$10),AND(T17=N$17,T16=N$16),AND(T17=T16,T16=T15),AND(T17=T15,T16=T14),AND(T17=T14,T16=T13),AND(T17=T13,T16=T12),AND(T17=T12,T16=T11),AND(T17=T11,T16=T10)),T17&lt;&gt;"(",T17&lt;&gt;"f",T17&lt;&gt;"^"),"",TUMDD(T17)))</f>
        <v/>
      </c>
      <c r="V17" s="40"/>
      <c r="W17" s="1"/>
    </row>
    <row r="18" spans="1:26" s="3" customFormat="1" ht="20.25" customHeight="1" x14ac:dyDescent="0.2">
      <c r="A18" s="61" t="s">
        <v>8</v>
      </c>
      <c r="B18" s="62"/>
      <c r="C18" s="27" t="str">
        <f>IF(SUM(C10:C17)=0,"",SUM(C10:C17))</f>
        <v/>
      </c>
      <c r="D18" s="12" t="s">
        <v>10</v>
      </c>
      <c r="E18" s="11"/>
      <c r="G18" s="63" t="s">
        <v>8</v>
      </c>
      <c r="H18" s="64"/>
      <c r="I18" s="27" t="str">
        <f>IF(SUM(I10:I17)=0,"",SUM(I10:I17))</f>
        <v/>
      </c>
      <c r="J18" s="12" t="s">
        <v>10</v>
      </c>
      <c r="K18" s="13"/>
      <c r="M18" s="63" t="s">
        <v>8</v>
      </c>
      <c r="N18" s="64"/>
      <c r="O18" s="27" t="str">
        <f>IF(SUM(O10:O17)=0,"",SUM(O10:O17))</f>
        <v/>
      </c>
      <c r="P18" s="12" t="s">
        <v>10</v>
      </c>
      <c r="Q18" s="13"/>
      <c r="S18" s="63" t="s">
        <v>8</v>
      </c>
      <c r="T18" s="64"/>
      <c r="U18" s="27" t="str">
        <f>IF(SUM(U10:U17)=0,"",SUM(U10:U17))</f>
        <v/>
      </c>
      <c r="V18" s="12" t="s">
        <v>10</v>
      </c>
      <c r="W18" s="13"/>
      <c r="Y18"/>
      <c r="Z18"/>
    </row>
    <row r="19" spans="1:26" s="3" customFormat="1" ht="20.25" customHeight="1" x14ac:dyDescent="0.2">
      <c r="A19" s="61" t="s">
        <v>20</v>
      </c>
      <c r="B19" s="62"/>
      <c r="C19" s="27" t="str">
        <f>IF(C18="","",IF(AND($L$3="Women/Femmes",$P$3="Senior",(SUMPRODUCT(--(LEN(B11:B16)=3),--(C11:C16&lt;&gt;""))-1+COUNTIF(C10:C17,"&gt;=2")-1)&gt;2),2,IF(OR($P$3="L5-Novice 15U",$P$3="L5-Novice 16+"),SUMPRODUCT(N(LEN(B10:B17)=3),--(C10:C17&lt;&gt;"")),0)+IF(OR(AND($L$3="Men/Hommes",$P$3="L6-Espoir"),AND($L$3="Women/Femmes",$P$3="Junior")),SUMPRODUCT(N(LEN(B11:B16)=3),--(C11:C16&lt;&gt;"")),0)+IF(AND($L$3="Women/Femmes",$P$3="L6-Espoir"),IF(AND(LEN(B10)=3,C10&lt;&gt;""),IF(SUM(IF(MID(B10,1,1)="-",0,MID(B10,1,1)),IF(MID(B10,2,1)="-",0,MID(B10,2,1))),1,0),0)+IF(AND(LEN(B11)=3,C11&lt;&gt;""),IF(SUM(IF(MID(B11,1,1)="-",0,MID(B11,1,1)),IF(MID(B11,2,1)="-",0,MID(B11,2,1))),1,0),0)+IF(AND(LEN(B12)=3,C12&lt;&gt;""),IF(SUM(IF(MID(B12,1,1)="-",0,MID(B12,1,1)),IF(MID(B12,2,1)="-",0,MID(B12,2,1))),1,0),0)+IF(AND(LEN(B13)=3,C13&lt;&gt;""),IF(SUM(IF(MID(B13,1,1)="-",0,MID(B13,1,1)),IF(MID(B13,2,1)="-",0,MID(B13,2,1))),1,0),0)+IF(AND(LEN(B14)=3,C14&lt;&gt;""),IF(SUM(IF(MID(B14,1,1)="-",0,MID(B14,1,1)),IF(MID(B14,2,1)="-",0,MID(B14,2,1))),1,0),0)+IF(AND(LEN(B15)=3,C15&lt;&gt;""),IF(SUM(IF(MID(B15,1,1)="-",0,MID(B15,1,1)),IF(MID(B15,2,1)="-",0,MID(B15,2,1))),1,0),0)+IF(AND(LEN(B16)=3,C16&lt;&gt;""),IF(SUM(IF(MID(B16,1,1)="-",0,MID(B16,1,1)),IF(MID(B16,2,1)="-",0,MID(B16,2,1))),1,0),0)+IF(AND(LEN(B17)=3,C17&lt;&gt;""),IF(SUM(IF(MID(B17,1,1)="-",0,MID(B17,1,1)),IF(MID(B17,2,1)="-",0,MID(B17,2,1))),1,0),0))+IF(OR(AND($L$3="Men/Hommes",$P$3="Junior"),AND($L$3="Women/Femmes",$P$3="Senior")),IF(SUMPRODUCT(--(LEN(B11:B16)=3),--(C11:C16&lt;&gt;"")),SUMPRODUCT(--(LEN(B11:B16)=3),--(C11:C16&lt;&gt;""))-1,0),0)+IF(AND($L$3="Women/Femmes",COUNTIF(C10:C17,"&gt;=2")&gt;0),COUNTIF(C10:C17,"&gt;=2")-1,0)))</f>
        <v/>
      </c>
      <c r="D19" s="12" t="s">
        <v>21</v>
      </c>
      <c r="E19" s="11"/>
      <c r="G19" s="63" t="s">
        <v>20</v>
      </c>
      <c r="H19" s="64"/>
      <c r="I19" s="27" t="str">
        <f>IF(I18="","",IF(AND($L$3="Women/Femmes",$P$3="Senior",(SUMPRODUCT(--(LEN(H11:H16)=3),--(I11:I16&lt;&gt;""))+COUNTIF(I10:I17,"&gt;=2")-1)&gt;2),2,IF(OR($P$3="L5-Novice 15U",$P$3="L5-Novice 16+"),SUMPRODUCT(N(LEN(H10:H17)=3),--(I10:I17&lt;&gt;"")),0)+IF(OR(AND($L$3="Men/Hommes",$P$3="L6-Espoir"),AND($L$3="Women/Femmes",$P$3="Junior")),SUMPRODUCT(N(LEN(H11:H16)=3),--(I11:I16&lt;&gt;"")),0)+IF(AND($L$3="Women/Femmes",$P$3="L6-Espoir"),IF(AND(LEN(H10)=3,I10&lt;&gt;""),IF(SUM(IF(MID(H10,1,1)="-",0,MID(H10,1,1)),IF(MID(H10,2,1)="-",0,MID(H10,2,1))),1,0),0)+IF(AND(LEN(H11)=3,I11&lt;&gt;""),IF(SUM(IF(MID(H11,1,1)="-",0,MID(H11,1,1)),IF(MID(H11,2,1)="-",0,MID(H11,2,1))),1,0),0)+IF(AND(LEN(H12)=3,I12&lt;&gt;""),IF(SUM(IF(MID(H12,1,1)="-",0,MID(H12,1,1)),IF(MID(H12,2,1)="-",0,MID(H12,2,1))),1,0),0)+IF(AND(LEN(H13)=3,I13&lt;&gt;""),IF(SUM(IF(MID(H13,1,1)="-",0,MID(H13,1,1)),IF(MID(H13,2,1)="-",0,MID(H13,2,1))),1,0),0)+IF(AND(LEN(H14)=3,I14&lt;&gt;""),IF(SUM(IF(MID(H14,1,1)="-",0,MID(H14,1,1)),IF(MID(H14,2,1)="-",0,MID(H14,2,1))),1,0),0)+IF(AND(LEN(H15)=3,I15&lt;&gt;""),IF(SUM(IF(MID(H15,1,1)="-",0,MID(H15,1,1)),IF(MID(H15,2,1)="-",0,MID(H15,2,1))),1,0),0)+IF(AND(LEN(H16)=3,I16&lt;&gt;""),IF(SUM(IF(MID(H16,1,1)="-",0,MID(H16,1,1)),IF(MID(H16,2,1)="-",0,MID(H16,2,1))),1,0),0)+IF(AND(LEN(H17)=3,I17&lt;&gt;""),IF(SUM(IF(MID(H17,1,1)="-",0,MID(H17,1,1)),IF(MID(H17,2,1)="-",0,MID(H17,2,1))),1,0),0))+IF(OR(AND($L$3="Men/Hommes",$P$3="Junior"),AND($L$3="Women/Femmes",$P$3="Senior")),SUMPRODUCT(--(LEN(H11:H16)=3),--(I11:I16&lt;&gt;"")),0)+IF(AND($L$3="Women/Femmes",COUNTIF(I10:I17,"&gt;=2")&gt;0),COUNTIF(I10:I17,"&gt;=2")-1,0)))</f>
        <v/>
      </c>
      <c r="J19" s="12" t="s">
        <v>21</v>
      </c>
      <c r="K19" s="13"/>
      <c r="M19" s="63" t="s">
        <v>20</v>
      </c>
      <c r="N19" s="64"/>
      <c r="O19" s="27" t="str">
        <f>IF(O18="","",IF(AND($L$3="Women/Femmes",$P$3="Senior",(SUMPRODUCT(--(LEN(N11:N16)=3),--(O11:O16&lt;&gt;""))-1+COUNTIF(O10:O17,"&gt;=2")-1)&gt;2),2,IF(OR($P$3="L5-Novice 15U",$P$3="L5-Novice 16+"),SUMPRODUCT(N(LEN(N10:N17)=3),--(O10:O17&lt;&gt;"")),0)+IF(OR(AND($L$3="Men/Hommes",$P$3="L6-Espoir"),AND($L$3="Women/Femmes",$P$3="Junior")),SUMPRODUCT(N(LEN(N11:N16)=3),--(O11:O16&lt;&gt;"")),0)+IF(AND($L$3="Women/Femmes",$P$3="L6-Espoir"),IF(AND(LEN(N10)=3,O10&lt;&gt;""),IF(SUM(IF(MID(N10,1,1)="-",0,MID(N10,1,1)),IF(MID(N10,2,1)="-",0,MID(N10,2,1))),1,0),0)+IF(AND(LEN(N11)=3,O11&lt;&gt;""),IF(SUM(IF(MID(N11,1,1)="-",0,MID(N11,1,1)),IF(MID(N11,2,1)="-",0,MID(N11,2,1))),1,0),0)+IF(AND(LEN(N12)=3,O12&lt;&gt;""),IF(SUM(IF(MID(N12,1,1)="-",0,MID(N12,1,1)),IF(MID(N12,2,1)="-",0,MID(N12,2,1))),1,0),0)+IF(AND(LEN(N13)=3,O13&lt;&gt;""),IF(SUM(IF(MID(N13,1,1)="-",0,MID(N13,1,1)),IF(MID(N13,2,1)="-",0,MID(N13,2,1))),1,0),0)+IF(AND(LEN(N14)=3,O14&lt;&gt;""),IF(SUM(IF(MID(N14,1,1)="-",0,MID(N14,1,1)),IF(MID(N14,2,1)="-",0,MID(N14,2,1))),1,0),0)+IF(AND(LEN(N15)=3,O15&lt;&gt;""),IF(SUM(IF(MID(N15,1,1)="-",0,MID(N15,1,1)),IF(MID(N15,2,1)="-",0,MID(N15,2,1))),1,0),0)+IF(AND(LEN(N16)=3,O16&lt;&gt;""),IF(SUM(IF(MID(N16,1,1)="-",0,MID(N16,1,1)),IF(MID(N16,2,1)="-",0,MID(N16,2,1))),1,0),0)+IF(AND(LEN(N17)=3,O17&lt;&gt;""),IF(SUM(IF(MID(N17,1,1)="-",0,MID(N17,1,1)),IF(MID(N17,2,1)="-",0,MID(N17,2,1))),1,0),0))+IF(OR(AND($L$3="Men/Hommes",$P$3="Junior"),AND($L$3="Women/Femmes",$P$3="Senior")),IF(SUMPRODUCT(--(LEN(N11:N16)=3),--(O11:O16&lt;&gt;"")),SUMPRODUCT(--(LEN(N11:N16)=3),--(O11:O16&lt;&gt;""))-1,0),0)+IF(AND($L$3="Women/Femmes",COUNTIF(O10:O17,"&gt;=2")&gt;0),COUNTIF(O10:O17,"&gt;=2")-1,0)))</f>
        <v/>
      </c>
      <c r="P19" s="12" t="s">
        <v>21</v>
      </c>
      <c r="Q19" s="13"/>
      <c r="S19" s="63" t="s">
        <v>20</v>
      </c>
      <c r="T19" s="64"/>
      <c r="U19" s="27" t="str">
        <f>IF(U18="","",IF(AND($L$3="Women/Femmes",$P$3="Senior",(SUMPRODUCT(--(LEN(T11:T16)=3),--(U11:U16&lt;&gt;""))-1+COUNTIF(U10:U17,"&gt;=2")-1)&gt;2),2,IF(OR($P$3="L5-Novice 15U",$P$3="L5-Novice 16+"),SUMPRODUCT(N(LEN(T10:T17)=3),--(U10:U17&lt;&gt;"")),0)+IF(OR(AND($L$3="Men/Hommes",$P$3="L6-Espoir"),AND($L$3="Women/Femmes",$P$3="Junior")),SUMPRODUCT(N(LEN(T11:T16)=3),--(U11:U16&lt;&gt;"")),0)+IF(AND($L$3="Women/Femmes",$P$3="L6-Espoir"),IF(AND(LEN(T10)=3,U10&lt;&gt;""),IF(SUM(IF(MID(T10,1,1)="-",0,MID(T10,1,1)),IF(MID(T10,2,1)="-",0,MID(T10,2,1))),1,0),0)+IF(AND(LEN(T11)=3,U11&lt;&gt;""),IF(SUM(IF(MID(T11,1,1)="-",0,MID(T11,1,1)),IF(MID(T11,2,1)="-",0,MID(T11,2,1))),1,0),0)+IF(AND(LEN(T12)=3,U12&lt;&gt;""),IF(SUM(IF(MID(T12,1,1)="-",0,MID(T12,1,1)),IF(MID(T12,2,1)="-",0,MID(T12,2,1))),1,0),0)+IF(AND(LEN(T13)=3,U13&lt;&gt;""),IF(SUM(IF(MID(T13,1,1)="-",0,MID(T13,1,1)),IF(MID(T13,2,1)="-",0,MID(T13,2,1))),1,0),0)+IF(AND(LEN(T14)=3,U14&lt;&gt;""),IF(SUM(IF(MID(T14,1,1)="-",0,MID(T14,1,1)),IF(MID(T14,2,1)="-",0,MID(T14,2,1))),1,0),0)+IF(AND(LEN(T15)=3,U15&lt;&gt;""),IF(SUM(IF(MID(T15,1,1)="-",0,MID(T15,1,1)),IF(MID(T15,2,1)="-",0,MID(T15,2,1))),1,0),0)+IF(AND(LEN(T16)=3,U16&lt;&gt;""),IF(SUM(IF(MID(T16,1,1)="-",0,MID(T16,1,1)),IF(MID(T16,2,1)="-",0,MID(T16,2,1))),1,0),0)+IF(AND(LEN(T17)=3,U17&lt;&gt;""),IF(SUM(IF(MID(T17,1,1)="-",0,MID(T17,1,1)),IF(MID(T17,2,1)="-",0,MID(T17,2,1))),1,0),0))+IF(OR(AND($L$3="Men/Hommes",$P$3="Junior"),AND($L$3="Women/Femmes",$P$3="Senior")),IF(SUMPRODUCT(--(LEN(T11:T16)=3),--(U11:U16&lt;&gt;"")),SUMPRODUCT(--(LEN(T11:T16)=3),--(U11:U16&lt;&gt;""))-1,0),0)+IF(AND($L$3="Women/Femmes",COUNTIF(U10:U17,"&gt;=2")&gt;0),COUNTIF(U10:U17,"&gt;=2")-1,0)))</f>
        <v/>
      </c>
      <c r="V19" s="12" t="s">
        <v>21</v>
      </c>
      <c r="W19" s="13"/>
      <c r="Y19"/>
      <c r="Z19"/>
    </row>
    <row r="20" spans="1:26" s="3" customFormat="1" ht="20.25" customHeight="1" thickBot="1" x14ac:dyDescent="0.25">
      <c r="A20" s="65" t="s">
        <v>14</v>
      </c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Z20"/>
    </row>
    <row r="21" spans="1:26" x14ac:dyDescent="0.2">
      <c r="A21" s="66" t="s">
        <v>27</v>
      </c>
      <c r="B21" s="67"/>
      <c r="C21" s="67"/>
      <c r="D21" s="67"/>
      <c r="E21" s="68"/>
      <c r="G21" s="66" t="s">
        <v>27</v>
      </c>
      <c r="H21" s="67"/>
      <c r="I21" s="67"/>
      <c r="J21" s="67"/>
      <c r="K21" s="68"/>
      <c r="M21" s="66" t="s">
        <v>27</v>
      </c>
      <c r="N21" s="67"/>
      <c r="O21" s="67"/>
      <c r="P21" s="67"/>
      <c r="Q21" s="68"/>
      <c r="S21" s="66" t="s">
        <v>27</v>
      </c>
      <c r="T21" s="67"/>
      <c r="U21" s="67"/>
      <c r="V21" s="67"/>
      <c r="W21" s="68"/>
    </row>
    <row r="22" spans="1:26" x14ac:dyDescent="0.2">
      <c r="A22" s="34" t="str">
        <f>IF(B22&lt;&gt;"","r","")</f>
        <v/>
      </c>
      <c r="B22" s="69" t="str">
        <f>IF(OR($P$3="L5-Novice 15U",$P$3="L5-Novice 16+"),"One element 0.9 or higher",IF($P$3="L6-Espoir","One element 2.0 or higher (in one prelims pass)",IF(AND($L$3="Women/Femmes",$P$3="Junior"),"One element 2.4 or higher (in one prelims pass)",IF(OR(AND($L$3="Men/Hommes",$P$3="Junior"),$P$3="Senior"),"One double salto in transition",""))))</f>
        <v/>
      </c>
      <c r="C22" s="69"/>
      <c r="D22" s="69"/>
      <c r="E22" s="70"/>
      <c r="G22" s="34" t="str">
        <f>IF(H22&lt;&gt;"","r","")</f>
        <v/>
      </c>
      <c r="H22" s="69" t="str">
        <f>IF(OR($P$3="L5-Novice 15U",$P$3="L5-Novice 16+"),"One element &gt;= 360˚ twist",IF($P$3="L6-Espoir","One element 2.0 or higher (in one prelims pass)",IF(AND($L$3="Women/Femmes",$P$3="Junior"),"One element 2.4 or higher (in one prelims pass)",IF(AND($L$3="Men/Hommes",$P$3="Junior"),"One double salto with &gt;= 360˚ twist",IF(AND($L$3="Women/Femmes",$P$3="Senior"),"One element 2.4 or higher",IF(AND($L$3="Men/Hommes",$P$3="Senior"),"One double salto in transition",""))))))</f>
        <v/>
      </c>
      <c r="I22" s="69"/>
      <c r="J22" s="69"/>
      <c r="K22" s="70"/>
      <c r="M22" s="34" t="str">
        <f>IF(N22&lt;&gt;"","r","")</f>
        <v/>
      </c>
      <c r="N22" s="69" t="str">
        <f>IF(OR($P$3="L5-Novice 15U",$P$3="L5-Novice 16+"),"One element 0.9 or higher",IF($P$3="L6-Espoir","One element 2.0 or higher (in one finals pass)",IF(OR(AND($L$3="Men/Hommes",$P$3="Junior"),AND($L$3="Women/Femmes",$P$3="Senior")),"Double salto in transition (in one finals pass)","")))</f>
        <v/>
      </c>
      <c r="O22" s="69"/>
      <c r="P22" s="69"/>
      <c r="Q22" s="70"/>
      <c r="S22" s="34" t="str">
        <f>IF(T22&lt;&gt;"","r","")</f>
        <v/>
      </c>
      <c r="T22" s="69" t="str">
        <f>IF(OR($P$3="L5-Novice 15U",$P$3="L5-Novice 16+"),"One element 1.3 or higher",IF($P$3="L6-Espoir","One element 2.0 or higher (in one finals pass)",IF(OR(AND($L$3="Men/Hommes",$P$3="Junior"),AND($L$3="Women/Femmes",$P$3="Senior")),"Double salto in transition (in one finals pass)","")))</f>
        <v/>
      </c>
      <c r="U22" s="69"/>
      <c r="V22" s="69"/>
      <c r="W22" s="70"/>
    </row>
    <row r="23" spans="1:26" ht="16" thickBot="1" x14ac:dyDescent="0.25">
      <c r="A23" s="34" t="str">
        <f>IF(B23&lt;&gt;"","r","")</f>
        <v/>
      </c>
      <c r="B23" s="69" t="str">
        <f>IF(OR($P$3="L5-Novice 15U",$P$3="L5-Novice 16+"),"One element 1.1 or higher (in one prelim pass)","")</f>
        <v/>
      </c>
      <c r="C23" s="69"/>
      <c r="D23" s="69"/>
      <c r="E23" s="70"/>
      <c r="G23" s="34" t="str">
        <f>IF(H23&lt;&gt;"","r","")</f>
        <v/>
      </c>
      <c r="H23" s="69" t="str">
        <f>IF(OR($P$3="L5-Novice 15U",$P$3="L5-Novice 16+"),"One element 1.1 or higher (in one prelim pass)",IF($P$3="L6-Espoir","One element &gt;= 360˚ twist (can be combined)",IF(AND($L$3="Women/Femmes",$P$3="Junior"),"Full in transition","")))</f>
        <v/>
      </c>
      <c r="I23" s="69"/>
      <c r="J23" s="69"/>
      <c r="K23" s="70"/>
      <c r="M23" s="35" t="str">
        <f>IF(N23&lt;&gt;"","r","")</f>
        <v/>
      </c>
      <c r="N23" s="71"/>
      <c r="O23" s="71"/>
      <c r="P23" s="71"/>
      <c r="Q23" s="72"/>
      <c r="S23" s="35" t="str">
        <f>IF(T23&lt;&gt;"","r","")</f>
        <v/>
      </c>
      <c r="T23" s="71"/>
      <c r="U23" s="71"/>
      <c r="V23" s="71"/>
      <c r="W23" s="72"/>
    </row>
    <row r="24" spans="1:26" x14ac:dyDescent="0.2">
      <c r="A24" s="66" t="s">
        <v>28</v>
      </c>
      <c r="B24" s="67"/>
      <c r="C24" s="67"/>
      <c r="D24" s="67"/>
      <c r="E24" s="68"/>
      <c r="G24" s="66" t="s">
        <v>28</v>
      </c>
      <c r="H24" s="67"/>
      <c r="I24" s="67"/>
      <c r="J24" s="67"/>
      <c r="K24" s="68"/>
      <c r="M24" s="74"/>
      <c r="N24" s="74"/>
      <c r="O24" s="74"/>
      <c r="P24" s="74"/>
      <c r="Q24" s="74"/>
      <c r="R24" s="36"/>
      <c r="S24" s="74"/>
      <c r="T24" s="74"/>
      <c r="U24" s="74"/>
      <c r="V24" s="74"/>
      <c r="W24" s="74"/>
    </row>
    <row r="25" spans="1:26" x14ac:dyDescent="0.2">
      <c r="A25" s="73" t="str">
        <f>IF(AND($L$3="Men/Hommes",$P$3="Junior"),"(must be done in both prelims passes)","(can be done in either prelim pass)")</f>
        <v>(can be done in either prelim pass)</v>
      </c>
      <c r="B25" s="74"/>
      <c r="C25" s="74"/>
      <c r="D25" s="74"/>
      <c r="E25" s="75"/>
      <c r="G25" s="73" t="str">
        <f>IF(AND($L$3="Men/Hommes",$P$3="Junior"),"(must be done in both prelims passes)","(can be done in either prelim pass)")</f>
        <v>(can be done in either prelim pass)</v>
      </c>
      <c r="H25" s="74"/>
      <c r="I25" s="74"/>
      <c r="J25" s="74"/>
      <c r="K25" s="75"/>
      <c r="M25" s="74"/>
      <c r="N25" s="74"/>
      <c r="O25" s="74"/>
      <c r="P25" s="74"/>
      <c r="Q25" s="74"/>
      <c r="R25" s="36"/>
      <c r="S25" s="74"/>
      <c r="T25" s="74"/>
      <c r="U25" s="74"/>
      <c r="V25" s="74"/>
      <c r="W25" s="74"/>
    </row>
    <row r="26" spans="1:26" ht="16" thickBot="1" x14ac:dyDescent="0.25">
      <c r="A26" s="35" t="str">
        <f>IF(B26&lt;&gt;"","r","")</f>
        <v/>
      </c>
      <c r="B26" s="76" t="str">
        <f>IF(OR($P$3="L5-Novice 15U",$P$3="L5-Novice 16+"),"One double salto",IF(AND($L$3="Women/Femmes",$P$3="L6-Espoir"),"One element 2.4 or higher",IF(AND($L$3="Women/Femmes",$P$3="Junior"),"One double salto in transition (completed pass)",IF(AND($L$3="Men/Hommes",OR($P$3="Junior",$P$3="L6-Espoir")),"One double salto in transition to double salto",""))))</f>
        <v/>
      </c>
      <c r="C26" s="76"/>
      <c r="D26" s="76"/>
      <c r="E26" s="77"/>
      <c r="G26" s="35" t="str">
        <f>IF(H26&lt;&gt;"","r","")</f>
        <v/>
      </c>
      <c r="H26" s="76" t="str">
        <f>IF(OR($P$3="L5-Novice 15U",$P$3="L5-Novice 16+"),"One double salto",IF(AND($L$3="Women/Femmes",$P$3="L6-Espoir"),"One element 2.4 or higher",IF(AND($L$3="Women/Femmes",$P$3="Junior"),"One double salto in transition (completed pass)",IF(AND($L$3="Men/Hommes",OR($P$3="Junior",$P$3="L6-Espoir")),"One double salto in transition to double salto",""))))</f>
        <v/>
      </c>
      <c r="I26" s="76"/>
      <c r="J26" s="76"/>
      <c r="K26" s="77"/>
      <c r="M26" s="37"/>
      <c r="N26" s="78"/>
      <c r="O26" s="78"/>
      <c r="P26" s="78"/>
      <c r="Q26" s="78"/>
      <c r="R26" s="36"/>
      <c r="S26" s="37"/>
      <c r="T26" s="78"/>
      <c r="U26" s="78"/>
      <c r="V26" s="78"/>
      <c r="W26" s="78"/>
    </row>
  </sheetData>
  <sheetProtection sheet="1" objects="1" scenarios="1"/>
  <mergeCells count="59">
    <mergeCell ref="M24:Q24"/>
    <mergeCell ref="M25:Q25"/>
    <mergeCell ref="N26:Q26"/>
    <mergeCell ref="S24:W24"/>
    <mergeCell ref="S25:W25"/>
    <mergeCell ref="T26:W26"/>
    <mergeCell ref="A24:E24"/>
    <mergeCell ref="A25:E25"/>
    <mergeCell ref="B26:E26"/>
    <mergeCell ref="G24:K24"/>
    <mergeCell ref="G25:K25"/>
    <mergeCell ref="H26:K26"/>
    <mergeCell ref="M21:Q21"/>
    <mergeCell ref="N23:Q23"/>
    <mergeCell ref="S21:W21"/>
    <mergeCell ref="T23:W23"/>
    <mergeCell ref="N22:Q22"/>
    <mergeCell ref="T22:W22"/>
    <mergeCell ref="A21:E21"/>
    <mergeCell ref="B23:E23"/>
    <mergeCell ref="G21:K21"/>
    <mergeCell ref="H23:K23"/>
    <mergeCell ref="B22:E22"/>
    <mergeCell ref="H22:K22"/>
    <mergeCell ref="A18:B18"/>
    <mergeCell ref="M18:N18"/>
    <mergeCell ref="G18:H18"/>
    <mergeCell ref="A20:W20"/>
    <mergeCell ref="S18:T18"/>
    <mergeCell ref="A19:B19"/>
    <mergeCell ref="G19:H19"/>
    <mergeCell ref="M19:N19"/>
    <mergeCell ref="S19:T19"/>
    <mergeCell ref="A1:W1"/>
    <mergeCell ref="S6:W7"/>
    <mergeCell ref="S8:U8"/>
    <mergeCell ref="V8:W8"/>
    <mergeCell ref="S9:T9"/>
    <mergeCell ref="B3:D3"/>
    <mergeCell ref="M8:O8"/>
    <mergeCell ref="P8:Q8"/>
    <mergeCell ref="A9:B9"/>
    <mergeCell ref="G9:H9"/>
    <mergeCell ref="S2:T2"/>
    <mergeCell ref="G3:J3"/>
    <mergeCell ref="L3:N3"/>
    <mergeCell ref="S3:T3"/>
    <mergeCell ref="V10:V17"/>
    <mergeCell ref="M9:N9"/>
    <mergeCell ref="A6:E7"/>
    <mergeCell ref="G6:K7"/>
    <mergeCell ref="D10:D17"/>
    <mergeCell ref="J10:J17"/>
    <mergeCell ref="P10:P17"/>
    <mergeCell ref="M6:Q7"/>
    <mergeCell ref="A8:C8"/>
    <mergeCell ref="D8:E8"/>
    <mergeCell ref="G8:I8"/>
    <mergeCell ref="J8:K8"/>
  </mergeCells>
  <conditionalFormatting sqref="A24:E26 G24:K26">
    <cfRule type="expression" dxfId="1" priority="2">
      <formula>IF($P$3="Senior",1,0)</formula>
    </cfRule>
  </conditionalFormatting>
  <conditionalFormatting sqref="T13:U17">
    <cfRule type="expression" dxfId="0" priority="1">
      <formula>IF(OR($P$3="L5-Novice 15U",$P$3="L5-Novice 16+"),1,0)</formula>
    </cfRule>
  </conditionalFormatting>
  <dataValidations count="2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howErrorMessage="1" sqref="P3" xr:uid="{00000000-0002-0000-0000-000001000000}">
      <formula1>"Choose:,L5-Novice 15U, L5-Novice 16+, L6-Espoir, Junior, Senior"</formula1>
    </dataValidation>
  </dataValidations>
  <pageMargins left="0.39370078740157483" right="0.39370078740157483" top="0.39370078740157483" bottom="0.19685039370078741" header="0.31496062992125984" footer="0.31496062992125984"/>
  <pageSetup scale="77" orientation="landscape" r:id="rId1"/>
  <headerFooter>
    <oddFooter xml:space="preserve">&amp;R2018 version         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DD TUM</vt:lpstr>
      <vt:lpstr>'DD TUM'!Print_Area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 Lavoie</dc:creator>
  <cp:lastModifiedBy>Trevor Stirling</cp:lastModifiedBy>
  <cp:lastPrinted>2018-06-01T14:37:17Z</cp:lastPrinted>
  <dcterms:created xsi:type="dcterms:W3CDTF">2006-09-12T15:06:44Z</dcterms:created>
  <dcterms:modified xsi:type="dcterms:W3CDTF">2019-01-01T07:30:19Z</dcterms:modified>
</cp:coreProperties>
</file>