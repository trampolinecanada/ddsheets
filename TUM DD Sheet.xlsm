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DD Sheets/Previous Versions/2021/Electronic/v1.0/"/>
    </mc:Choice>
  </mc:AlternateContent>
  <xr:revisionPtr revIDLastSave="0" documentId="13_ncr:1_{05936642-9C18-F14A-B34A-0EE3561C7023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TUM" sheetId="1" r:id="rId1"/>
  </sheets>
  <functionGroups builtInGroupCount="19"/>
  <definedNames>
    <definedName name="_xlnm.Print_Area" localSheetId="0">'DD TUM'!$A$1:$W$25</definedName>
    <definedName name="TUMM">'DD TUM'!$AB$3:$AB$12</definedName>
    <definedName name="TUMW">'DD TUM'!$AA$3:$AA$19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9" i="1" l="1"/>
  <c r="U20" i="1" a="1"/>
  <c r="U20" i="1"/>
  <c r="O19" i="1"/>
  <c r="O20" i="1" a="1"/>
  <c r="O20" i="1"/>
  <c r="I19" i="1"/>
  <c r="I20" i="1" a="1"/>
  <c r="I20" i="1"/>
  <c r="N25" i="1"/>
  <c r="H25" i="1"/>
  <c r="I18" i="1" a="1"/>
  <c r="I18" i="1"/>
  <c r="I11" i="1" a="1"/>
  <c r="I11" i="1"/>
  <c r="I12" i="1" a="1"/>
  <c r="I12" i="1"/>
  <c r="I13" i="1" a="1"/>
  <c r="I14" i="1" a="1"/>
  <c r="I15" i="1" a="1"/>
  <c r="I16" i="1" a="1"/>
  <c r="I17" i="1" a="1"/>
  <c r="I13" i="1"/>
  <c r="I14" i="1"/>
  <c r="I15" i="1"/>
  <c r="I16" i="1"/>
  <c r="I17" i="1"/>
  <c r="P4" i="1"/>
  <c r="C11" i="1" a="1"/>
  <c r="C11" i="1"/>
  <c r="C12" i="1" a="1"/>
  <c r="C12" i="1"/>
  <c r="C13" i="1" a="1"/>
  <c r="C14" i="1" a="1"/>
  <c r="C15" i="1" a="1"/>
  <c r="C16" i="1" a="1"/>
  <c r="C17" i="1" a="1"/>
  <c r="C18" i="1" a="1"/>
  <c r="C13" i="1"/>
  <c r="C14" i="1"/>
  <c r="C15" i="1"/>
  <c r="C16" i="1"/>
  <c r="C17" i="1"/>
  <c r="C18" i="1"/>
  <c r="C19" i="1"/>
  <c r="C20" i="1" a="1"/>
  <c r="C20" i="1"/>
  <c r="T24" i="1"/>
  <c r="T23" i="1"/>
  <c r="N24" i="1"/>
  <c r="N23" i="1"/>
  <c r="B24" i="1"/>
  <c r="H24" i="1"/>
  <c r="O11" i="1"/>
  <c r="O12" i="1"/>
  <c r="O13" i="1"/>
  <c r="O14" i="1"/>
  <c r="O15" i="1"/>
  <c r="O16" i="1"/>
  <c r="O17" i="1"/>
  <c r="O18" i="1"/>
  <c r="U11" i="1"/>
  <c r="U12" i="1"/>
  <c r="U13" i="1"/>
  <c r="U14" i="1"/>
  <c r="U15" i="1"/>
  <c r="U16" i="1"/>
  <c r="U17" i="1"/>
  <c r="U18" i="1"/>
  <c r="H23" i="1"/>
  <c r="B23" i="1"/>
  <c r="S6" i="1"/>
  <c r="E8" i="1"/>
  <c r="K8" i="1"/>
  <c r="Q8" i="1"/>
  <c r="W8" i="1"/>
  <c r="C8" i="1"/>
  <c r="I8" i="1"/>
  <c r="O8" i="1"/>
  <c r="U8" i="1"/>
  <c r="L4" i="1"/>
  <c r="G24" i="1"/>
  <c r="A24" i="1"/>
  <c r="S24" i="1"/>
  <c r="M24" i="1"/>
  <c r="S25" i="1"/>
  <c r="M25" i="1"/>
  <c r="G25" i="1"/>
  <c r="A25" i="1"/>
  <c r="S19" i="1"/>
  <c r="M19" i="1"/>
  <c r="G19" i="1"/>
  <c r="G23" i="1"/>
  <c r="A23" i="1"/>
  <c r="S23" i="1"/>
  <c r="M23" i="1"/>
  <c r="A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<sst xmlns="http://schemas.openxmlformats.org/spreadsheetml/2006/main" count="88" uniqueCount="29">
  <si>
    <t>1.</t>
  </si>
  <si>
    <t>2.</t>
  </si>
  <si>
    <t>3.</t>
  </si>
  <si>
    <t>4.</t>
  </si>
  <si>
    <t>5.</t>
  </si>
  <si>
    <t>6.</t>
  </si>
  <si>
    <t>7.</t>
  </si>
  <si>
    <t>8.</t>
  </si>
  <si>
    <t>DD</t>
  </si>
  <si>
    <t>Official DD</t>
  </si>
  <si>
    <t>Elements</t>
  </si>
  <si>
    <t>Athlete / Athlète</t>
  </si>
  <si>
    <t>Judges / Juges</t>
  </si>
  <si>
    <t>S E C T I O N   F O R   J U D G E S   O N L Y   -   S E C T I O N   P O U R   L E S   J U G E S   S E U L E M E N T</t>
  </si>
  <si>
    <t>1st Voluntary / 1ère libre</t>
  </si>
  <si>
    <t>2nd Voluntary / 2ème libre</t>
  </si>
  <si>
    <t>1st Final / 1ère finale</t>
  </si>
  <si>
    <t>DD SHEET - FEUILLE DE DIFFICULTÉ - TUMBLING (TUM)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</si>
  <si>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</si>
  <si>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</si>
  <si>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</si>
  <si>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</si>
  <si>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</si>
  <si>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</si>
  <si>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</si>
  <si>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Min DD:</t>
  </si>
  <si>
    <t>Max DD:</t>
  </si>
  <si>
    <t>***Note: If using front and back skills with the same FIG code, use a period in front of front skills. For example, for front pike use .4-&lt;</t>
  </si>
  <si>
    <t>Choose: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</si>
</sst>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6" xfId="0" applyBorder="1"/>
    <xf numFmtId="0" fontId="0" fillId="0" borderId="5" xfId="0" applyBorder="1"/>
    <xf numFmtId="0" fontId="5" fillId="0" borderId="0" xfId="0" applyFont="1"/>
    <xf numFmtId="0" fontId="7" fillId="0" borderId="0" xfId="0" applyFont="1"/>
    <xf numFmtId="0" fontId="8" fillId="0" borderId="0" xfId="0" applyFont="1"/>
    <xf numFmtId="0" fontId="0" fillId="0" borderId="7" xfId="0" applyBorder="1"/>
    <xf numFmtId="0" fontId="0" fillId="0" borderId="9" xfId="0" applyBorder="1"/>
    <xf numFmtId="0" fontId="5" fillId="0" borderId="0" xfId="0" applyFont="1" applyAlignment="1">
      <alignment vertical="center"/>
    </xf>
    <xf numFmtId="0" fontId="5" fillId="0" borderId="12" xfId="0" applyFont="1" applyBorder="1"/>
    <xf numFmtId="0" fontId="5" fillId="0" borderId="14" xfId="0" applyFont="1" applyBorder="1"/>
    <xf numFmtId="0" fontId="5" fillId="0" borderId="9" xfId="0" applyFont="1" applyBorder="1"/>
    <xf numFmtId="0" fontId="5" fillId="0" borderId="15" xfId="0" applyFont="1" applyBorder="1" applyAlignment="1">
      <alignment horizontal="right"/>
    </xf>
    <xf numFmtId="0" fontId="5" fillId="0" borderId="6" xfId="0" applyFont="1" applyBorder="1"/>
    <xf numFmtId="0" fontId="5" fillId="0" borderId="11" xfId="0" applyFont="1" applyBorder="1"/>
    <xf numFmtId="0" fontId="0" fillId="0" borderId="7" xfId="0" applyBorder="1" applyProtection="1"/>
    <xf numFmtId="0" fontId="0" fillId="0" borderId="5" xfId="0" applyBorder="1" applyProtection="1"/>
    <xf numFmtId="0" fontId="0" fillId="0" borderId="21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0" fontId="0" fillId="0" borderId="24" xfId="0" applyBorder="1" applyAlignment="1" applyProtection="1"/>
    <xf numFmtId="0" fontId="0" fillId="0" borderId="0" xfId="0" applyBorder="1" applyAlignment="1" applyProtection="1"/>
    <xf numFmtId="0" fontId="0" fillId="0" borderId="25" xfId="0" applyBorder="1" applyAlignment="1" applyProtection="1"/>
    <xf numFmtId="0" fontId="0" fillId="0" borderId="16" xfId="0" applyBorder="1" applyAlignment="1" applyProtection="1"/>
    <xf numFmtId="0" fontId="0" fillId="0" borderId="26" xfId="0" applyBorder="1" applyAlignment="1" applyProtection="1"/>
    <xf numFmtId="0" fontId="0" fillId="0" borderId="27" xfId="0" applyBorder="1" applyAlignment="1" applyProtection="1"/>
    <xf numFmtId="49" fontId="0" fillId="2" borderId="1" xfId="0" applyNumberFormat="1" applyFill="1" applyBorder="1" applyProtection="1">
      <protection locked="0"/>
    </xf>
    <xf numFmtId="164" fontId="5" fillId="0" borderId="9" xfId="0" applyNumberFormat="1" applyFont="1" applyBorder="1" applyAlignment="1" applyProtection="1">
      <alignment wrapText="1"/>
    </xf>
    <xf numFmtId="164" fontId="0" fillId="2" borderId="9" xfId="0" applyNumberFormat="1" applyFill="1" applyBorder="1" applyProtection="1"/>
    <xf numFmtId="49" fontId="0" fillId="2" borderId="8" xfId="0" quotePrefix="1" applyNumberFormat="1" applyFill="1" applyBorder="1" applyProtection="1">
      <protection locked="0"/>
    </xf>
    <xf numFmtId="0" fontId="0" fillId="0" borderId="0" xfId="0" applyNumberFormat="1"/>
    <xf numFmtId="0" fontId="0" fillId="2" borderId="0" xfId="0" applyFont="1" applyFill="1" applyBorder="1" applyAlignment="1" applyProtection="1">
      <alignment horizontal="center"/>
      <protection locked="0"/>
    </xf>
    <xf numFmtId="0" fontId="10" fillId="0" borderId="24" xfId="0" applyFont="1" applyBorder="1"/>
    <xf numFmtId="0" fontId="10" fillId="0" borderId="16" xfId="0" applyFont="1" applyBorder="1"/>
    <xf numFmtId="0" fontId="5" fillId="0" borderId="34" xfId="0" applyFont="1" applyBorder="1" applyAlignment="1">
      <alignment horizontal="center"/>
    </xf>
    <xf numFmtId="0" fontId="5" fillId="0" borderId="36" xfId="0" applyFont="1" applyBorder="1" applyAlignment="1">
      <alignment horizontal="right"/>
    </xf>
    <xf numFmtId="0" fontId="0" fillId="0" borderId="0" xfId="0" applyFill="1" applyAlignment="1">
      <alignment horizont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64" fontId="3" fillId="2" borderId="31" xfId="0" applyNumberFormat="1" applyFont="1" applyFill="1" applyBorder="1" applyAlignment="1">
      <alignment horizontal="center" vertical="center"/>
    </xf>
    <xf numFmtId="164" fontId="3" fillId="2" borderId="37" xfId="0" applyNumberFormat="1" applyFont="1" applyFill="1" applyBorder="1" applyAlignment="1">
      <alignment horizontal="center" vertical="center"/>
    </xf>
    <xf numFmtId="0" fontId="0" fillId="0" borderId="0" xfId="0" applyFont="1"/>
    <xf numFmtId="164" fontId="0" fillId="0" borderId="0" xfId="0" applyNumberFormat="1" applyFont="1" applyFill="1" applyBorder="1" applyAlignment="1" applyProtection="1"/>
    <xf numFmtId="0" fontId="0" fillId="0" borderId="0" xfId="0" applyFill="1" applyBorder="1" applyAlignment="1" applyProtection="1"/>
    <xf numFmtId="0" fontId="3" fillId="0" borderId="31" xfId="0" applyFont="1" applyBorder="1" applyAlignment="1">
      <alignment horizontal="right" vertical="center"/>
    </xf>
    <xf numFmtId="0" fontId="3" fillId="0" borderId="0" xfId="0" applyFont="1"/>
    <xf numFmtId="49" fontId="0" fillId="2" borderId="28" xfId="0" quotePrefix="1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0" fontId="13" fillId="0" borderId="26" xfId="0" applyFont="1" applyBorder="1" applyAlignment="1" applyProtection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quotePrefix="1"/>
    <xf numFmtId="164" fontId="5" fillId="0" borderId="38" xfId="0" applyNumberFormat="1" applyFont="1" applyBorder="1" applyAlignment="1" applyProtection="1">
      <alignment wrapText="1"/>
    </xf>
    <xf numFmtId="0" fontId="5" fillId="0" borderId="39" xfId="0" applyFont="1" applyBorder="1" applyAlignment="1">
      <alignment horizontal="right"/>
    </xf>
    <xf numFmtId="0" fontId="5" fillId="0" borderId="38" xfId="0" applyFont="1" applyBorder="1"/>
    <xf numFmtId="0" fontId="5" fillId="0" borderId="42" xfId="0" applyFont="1" applyBorder="1"/>
    <xf numFmtId="0" fontId="5" fillId="0" borderId="43" xfId="0" applyFont="1" applyBorder="1" applyAlignment="1">
      <alignment horizontal="right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5" fillId="0" borderId="43" xfId="0" applyFont="1" applyBorder="1" applyAlignment="1">
      <alignment horizontal="right"/>
    </xf>
    <xf numFmtId="0" fontId="5" fillId="0" borderId="44" xfId="0" applyFont="1" applyBorder="1" applyAlignment="1">
      <alignment horizontal="right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5" fillId="0" borderId="30" xfId="0" applyFont="1" applyBorder="1" applyAlignment="1">
      <alignment horizontal="right"/>
    </xf>
    <xf numFmtId="0" fontId="5" fillId="0" borderId="31" xfId="0" applyFont="1" applyBorder="1" applyAlignment="1">
      <alignment horizontal="right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11" fillId="0" borderId="26" xfId="0" applyFont="1" applyBorder="1" applyAlignment="1"/>
    <xf numFmtId="0" fontId="11" fillId="0" borderId="27" xfId="0" applyFont="1" applyBorder="1" applyAlignment="1"/>
    <xf numFmtId="0" fontId="11" fillId="0" borderId="0" xfId="0" applyFont="1" applyBorder="1" applyAlignment="1"/>
    <xf numFmtId="0" fontId="11" fillId="0" borderId="25" xfId="0" applyFont="1" applyBorder="1" applyAlignment="1"/>
    <xf numFmtId="0" fontId="5" fillId="0" borderId="2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5" fillId="0" borderId="7" xfId="0" applyFont="1" applyBorder="1" applyAlignment="1" applyProtection="1">
      <alignment horizontal="right"/>
    </xf>
    <xf numFmtId="0" fontId="5" fillId="0" borderId="8" xfId="0" applyFont="1" applyBorder="1" applyAlignment="1" applyProtection="1">
      <alignment horizontal="right"/>
    </xf>
    <xf numFmtId="0" fontId="5" fillId="0" borderId="5" xfId="0" applyFont="1" applyBorder="1" applyAlignment="1">
      <alignment horizontal="right"/>
    </xf>
    <xf numFmtId="0" fontId="5" fillId="0" borderId="1" xfId="0" applyFont="1" applyBorder="1" applyAlignment="1">
      <alignment horizontal="right"/>
    </xf>
    <xf numFmtId="0" fontId="5" fillId="3" borderId="45" xfId="0" applyFont="1" applyFill="1" applyBorder="1" applyAlignment="1" applyProtection="1">
      <alignment horizontal="center"/>
    </xf>
    <xf numFmtId="0" fontId="5" fillId="3" borderId="46" xfId="0" applyFont="1" applyFill="1" applyBorder="1" applyAlignment="1" applyProtection="1">
      <alignment horizontal="center"/>
    </xf>
    <xf numFmtId="0" fontId="5" fillId="3" borderId="47" xfId="0" applyFont="1" applyFill="1" applyBorder="1" applyAlignment="1" applyProtection="1">
      <alignment horizontal="center"/>
    </xf>
    <xf numFmtId="0" fontId="5" fillId="0" borderId="18" xfId="0" applyFont="1" applyBorder="1" applyAlignment="1" applyProtection="1">
      <alignment horizontal="right"/>
    </xf>
    <xf numFmtId="0" fontId="5" fillId="0" borderId="20" xfId="0" applyFont="1" applyBorder="1" applyAlignment="1" applyProtection="1">
      <alignment horizontal="right"/>
    </xf>
    <xf numFmtId="0" fontId="5" fillId="0" borderId="40" xfId="0" applyFont="1" applyBorder="1" applyAlignment="1">
      <alignment horizontal="right"/>
    </xf>
    <xf numFmtId="0" fontId="5" fillId="0" borderId="41" xfId="0" applyFont="1" applyBorder="1" applyAlignment="1">
      <alignment horizontal="right"/>
    </xf>
  </cellXfs>
  <cellStyles count="1">
    <cellStyle name="Normal" xfId="0" builtinId="0"/>
  </cellStyles>
  <dxfs count="19"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ay">
          <bgColor theme="9" tint="0.79998168889431442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ont>
        <color theme="0" tint="-0.34998626667073579"/>
      </font>
      <fill>
        <patternFill patternType="none">
          <bgColor auto="1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</xdr:row>
          <xdr:rowOff>25400</xdr:rowOff>
        </xdr:from>
        <xdr:to>
          <xdr:col>24</xdr:col>
          <xdr:colOff>850900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E31"/>
  <sheetViews>
    <sheetView tabSelected="1" zoomScaleNormal="100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8320312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8320312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6.83203125" customWidth="1"/>
    <col min="17" max="17" width="5.3320312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16.83203125" customWidth="1"/>
    <col min="23" max="23" width="5.33203125" customWidth="1"/>
  </cols>
  <sheetData>
    <row r="1" spans="1:31" ht="22" thickBot="1" x14ac:dyDescent="0.3">
      <c r="A1" s="73" t="s">
        <v>17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4"/>
      <c r="S1" s="74"/>
      <c r="T1" s="74"/>
      <c r="U1" s="74"/>
      <c r="V1" s="74"/>
      <c r="W1" s="74"/>
    </row>
    <row r="2" spans="1:31" ht="19" customHeight="1" x14ac:dyDescent="0.2">
      <c r="A2" s="17"/>
      <c r="B2" s="18" t="s">
        <v>20</v>
      </c>
      <c r="C2" s="18"/>
      <c r="D2" s="18"/>
      <c r="E2" s="18"/>
      <c r="F2" s="18"/>
      <c r="G2" s="18" t="s">
        <v>21</v>
      </c>
      <c r="H2" s="18"/>
      <c r="I2" s="18"/>
      <c r="J2" s="18"/>
      <c r="K2" s="18"/>
      <c r="L2" s="18" t="s">
        <v>22</v>
      </c>
      <c r="M2" s="18"/>
      <c r="N2" s="18"/>
      <c r="O2" s="18"/>
      <c r="P2" s="18" t="s">
        <v>23</v>
      </c>
      <c r="Q2" s="18"/>
      <c r="R2" s="18"/>
      <c r="S2" s="18"/>
      <c r="T2" s="18"/>
      <c r="U2" s="18"/>
      <c r="V2" s="18"/>
      <c r="W2" s="19"/>
      <c r="Z2" s="49"/>
      <c r="AA2" s="49"/>
      <c r="AB2" s="49"/>
      <c r="AC2" s="49"/>
      <c r="AD2" s="49"/>
      <c r="AE2" s="49"/>
    </row>
    <row r="3" spans="1:31" ht="19" customHeight="1" x14ac:dyDescent="0.2">
      <c r="A3" s="20"/>
      <c r="B3" s="79"/>
      <c r="C3" s="80"/>
      <c r="D3" s="80"/>
      <c r="E3" s="21"/>
      <c r="F3" s="21"/>
      <c r="G3" s="81"/>
      <c r="H3" s="80"/>
      <c r="I3" s="80"/>
      <c r="J3" s="80"/>
      <c r="L3" s="82" t="s">
        <v>28</v>
      </c>
      <c r="M3" s="82"/>
      <c r="N3" s="82"/>
      <c r="O3" s="21"/>
      <c r="P3" s="31" t="s">
        <v>28</v>
      </c>
      <c r="Q3" s="21"/>
      <c r="R3" s="21"/>
      <c r="S3" s="42"/>
      <c r="T3" s="42"/>
      <c r="U3" s="43"/>
      <c r="V3" s="36"/>
      <c r="W3" s="22"/>
      <c r="Z3" s="49"/>
      <c r="AA3" s="49"/>
      <c r="AB3" s="49"/>
      <c r="AC3" s="49"/>
      <c r="AD3" s="49"/>
      <c r="AE3" s="49"/>
    </row>
    <row r="4" spans="1:31" ht="19" customHeight="1" thickBot="1" x14ac:dyDescent="0.25">
      <c r="A4" s="23"/>
      <c r="B4" s="24"/>
      <c r="C4" s="24"/>
      <c r="D4" s="24"/>
      <c r="E4" s="24"/>
      <c r="F4" s="24"/>
      <c r="G4" s="24"/>
      <c r="H4" s="24"/>
      <c r="I4" s="24"/>
      <c r="J4" s="24"/>
      <c r="K4" s="24"/>
      <c r="L4" s="48" t="str">
        <f>LEFT(L3,2)</f>
        <v>Ch</v>
      </c>
      <c r="M4" s="24"/>
      <c r="N4" s="24"/>
      <c r="O4" s="24"/>
      <c r="P4" s="48" t="str">
        <f>LEFT(P3,2)</f>
        <v>Ch</v>
      </c>
      <c r="Q4" s="24"/>
      <c r="R4" s="24"/>
      <c r="S4" s="24"/>
      <c r="T4" s="24"/>
      <c r="U4" s="24"/>
      <c r="V4" s="24"/>
      <c r="W4" s="25"/>
      <c r="Z4" s="49"/>
      <c r="AA4" s="49"/>
      <c r="AB4" s="49"/>
      <c r="AC4" s="49"/>
      <c r="AD4" s="49"/>
      <c r="AE4" s="49"/>
    </row>
    <row r="5" spans="1:31" ht="8.25" customHeight="1" thickBot="1" x14ac:dyDescent="0.25">
      <c r="Z5" s="49"/>
      <c r="AA5" s="49"/>
      <c r="AB5" s="49"/>
      <c r="AC5" s="49"/>
      <c r="AD5" s="49"/>
      <c r="AE5" s="49"/>
    </row>
    <row r="6" spans="1:31" s="3" customFormat="1" ht="15" customHeight="1" x14ac:dyDescent="0.25">
      <c r="A6" s="59" t="s">
        <v>14</v>
      </c>
      <c r="B6" s="60"/>
      <c r="C6" s="60"/>
      <c r="D6" s="60"/>
      <c r="E6" s="61"/>
      <c r="G6" s="59" t="s">
        <v>15</v>
      </c>
      <c r="H6" s="60"/>
      <c r="I6" s="60"/>
      <c r="J6" s="60"/>
      <c r="K6" s="61"/>
      <c r="L6" s="4"/>
      <c r="M6" s="59" t="s">
        <v>16</v>
      </c>
      <c r="N6" s="60"/>
      <c r="O6" s="60"/>
      <c r="P6" s="60"/>
      <c r="Q6" s="61"/>
      <c r="R6" s="4"/>
      <c r="S6" s="59" t="str">
        <f>IF(OR(P4="L3",P4="L4"),"3rd Voluntary/3ème libre","2nd Final / 2ème finale")</f>
        <v>2nd Final / 2ème finale</v>
      </c>
      <c r="T6" s="60"/>
      <c r="U6" s="60"/>
      <c r="V6" s="60"/>
      <c r="W6" s="61"/>
      <c r="Z6" s="49"/>
      <c r="AA6" s="49"/>
      <c r="AB6" s="49"/>
      <c r="AC6" s="50"/>
      <c r="AD6" s="50"/>
      <c r="AE6" s="50"/>
    </row>
    <row r="7" spans="1:31" ht="19" x14ac:dyDescent="0.25">
      <c r="A7" s="62"/>
      <c r="B7" s="63"/>
      <c r="C7" s="63"/>
      <c r="D7" s="63"/>
      <c r="E7" s="64"/>
      <c r="G7" s="62"/>
      <c r="H7" s="63"/>
      <c r="I7" s="63"/>
      <c r="J7" s="63"/>
      <c r="K7" s="64"/>
      <c r="L7" s="5"/>
      <c r="M7" s="62"/>
      <c r="N7" s="63"/>
      <c r="O7" s="63"/>
      <c r="P7" s="63"/>
      <c r="Q7" s="64"/>
      <c r="R7" s="5"/>
      <c r="S7" s="62"/>
      <c r="T7" s="63"/>
      <c r="U7" s="63"/>
      <c r="V7" s="63"/>
      <c r="W7" s="64"/>
      <c r="Z7" s="49"/>
      <c r="AA7" s="49"/>
      <c r="AB7" s="49"/>
      <c r="AC7" s="49"/>
      <c r="AD7" s="49"/>
      <c r="AE7" s="49"/>
    </row>
    <row r="8" spans="1:31" s="41" customFormat="1" ht="16" x14ac:dyDescent="0.2">
      <c r="A8" s="37"/>
      <c r="B8" s="38" t="s">
        <v>25</v>
      </c>
      <c r="C8" s="39" t="str">
        <f>MINTUMDD(L3,P4,1)</f>
        <v/>
      </c>
      <c r="D8" s="38" t="s">
        <v>26</v>
      </c>
      <c r="E8" s="40" t="str">
        <f>MAXTUMDD(L3,P4,1)</f>
        <v/>
      </c>
      <c r="F8" s="45"/>
      <c r="G8" s="37"/>
      <c r="H8" s="38" t="s">
        <v>25</v>
      </c>
      <c r="I8" s="39" t="str">
        <f>MINTUMDD(L3,P4,2)</f>
        <v/>
      </c>
      <c r="J8" s="38" t="s">
        <v>26</v>
      </c>
      <c r="K8" s="40" t="str">
        <f>MAXTUMDD(L3,P4,2)</f>
        <v/>
      </c>
      <c r="L8" s="45"/>
      <c r="M8" s="37"/>
      <c r="N8" s="38" t="s">
        <v>25</v>
      </c>
      <c r="O8" s="39" t="str">
        <f>MINTUMDD(L3,P4,3)</f>
        <v/>
      </c>
      <c r="P8" s="38" t="s">
        <v>26</v>
      </c>
      <c r="Q8" s="40" t="str">
        <f>MAXTUMDD(L3,P4,3)</f>
        <v/>
      </c>
      <c r="R8" s="45"/>
      <c r="S8" s="37"/>
      <c r="T8" s="44" t="s">
        <v>25</v>
      </c>
      <c r="U8" s="39" t="str">
        <f>MINTUMDD(L3,P4,4)</f>
        <v/>
      </c>
      <c r="V8" s="44" t="s">
        <v>26</v>
      </c>
      <c r="W8" s="40" t="str">
        <f>MAXTUMDD(L3,P4,4)</f>
        <v/>
      </c>
      <c r="Z8" s="52"/>
      <c r="AA8" s="49"/>
      <c r="AB8" s="49"/>
      <c r="AC8" s="49"/>
      <c r="AD8" s="49"/>
      <c r="AE8" s="49"/>
    </row>
    <row r="9" spans="1:31" s="8" customFormat="1" ht="20.25" customHeight="1" x14ac:dyDescent="0.2">
      <c r="A9" s="75" t="s">
        <v>11</v>
      </c>
      <c r="B9" s="76"/>
      <c r="C9" s="76"/>
      <c r="D9" s="77" t="s">
        <v>12</v>
      </c>
      <c r="E9" s="78"/>
      <c r="G9" s="75" t="s">
        <v>11</v>
      </c>
      <c r="H9" s="76"/>
      <c r="I9" s="76"/>
      <c r="J9" s="77" t="s">
        <v>12</v>
      </c>
      <c r="K9" s="78"/>
      <c r="M9" s="75" t="s">
        <v>11</v>
      </c>
      <c r="N9" s="76"/>
      <c r="O9" s="76"/>
      <c r="P9" s="77" t="s">
        <v>12</v>
      </c>
      <c r="Q9" s="78"/>
      <c r="S9" s="75" t="s">
        <v>11</v>
      </c>
      <c r="T9" s="76"/>
      <c r="U9" s="76"/>
      <c r="V9" s="77" t="s">
        <v>12</v>
      </c>
      <c r="W9" s="78"/>
      <c r="Z9" s="49"/>
      <c r="AA9" s="52"/>
      <c r="AB9" s="49"/>
      <c r="AC9" s="51"/>
      <c r="AD9" s="51"/>
      <c r="AE9" s="51"/>
    </row>
    <row r="10" spans="1:31" s="3" customFormat="1" ht="16" thickBot="1" x14ac:dyDescent="0.25">
      <c r="A10" s="71" t="s">
        <v>10</v>
      </c>
      <c r="B10" s="72"/>
      <c r="C10" s="14" t="s">
        <v>8</v>
      </c>
      <c r="D10" s="10"/>
      <c r="E10" s="9" t="s">
        <v>8</v>
      </c>
      <c r="G10" s="71" t="s">
        <v>10</v>
      </c>
      <c r="H10" s="72"/>
      <c r="I10" s="14" t="s">
        <v>8</v>
      </c>
      <c r="J10" s="10"/>
      <c r="K10" s="9" t="s">
        <v>8</v>
      </c>
      <c r="M10" s="71" t="s">
        <v>10</v>
      </c>
      <c r="N10" s="72"/>
      <c r="O10" s="14" t="s">
        <v>8</v>
      </c>
      <c r="P10" s="14"/>
      <c r="Q10" s="9" t="s">
        <v>8</v>
      </c>
      <c r="S10" s="85" t="s">
        <v>10</v>
      </c>
      <c r="T10" s="86"/>
      <c r="U10" s="14" t="s">
        <v>8</v>
      </c>
      <c r="V10" s="34"/>
      <c r="W10" s="9" t="s">
        <v>8</v>
      </c>
      <c r="Z10" s="49"/>
      <c r="AA10" s="49"/>
      <c r="AB10" s="49"/>
      <c r="AC10" s="50"/>
      <c r="AD10" s="50"/>
      <c r="AE10" s="50"/>
    </row>
    <row r="11" spans="1:31" ht="20.25" customHeight="1" thickTop="1" x14ac:dyDescent="0.2">
      <c r="A11" s="15" t="s">
        <v>0</v>
      </c>
      <c r="B11" s="29"/>
      <c r="C11" s="28" t="str" cm="1">
        <f t="array" ref="C11">IF(OR(B11="",$P$4="L1",$P$4="L2",$P$4="L3",$P$4="L4"),"",IF(AND(NUMTWISTS(B11)&gt;1,$P$4="Se"),0,TUMDD(B11)))</f>
        <v/>
      </c>
      <c r="D11" s="83"/>
      <c r="E11" s="7"/>
      <c r="G11" s="6" t="s">
        <v>0</v>
      </c>
      <c r="H11" s="29"/>
      <c r="I11" s="28" t="str" cm="1">
        <f t="array" ref="I11">IF(H11="","",IF(AND(H11=B11,H11&lt;&gt;"(",H11&lt;&gt;"f",H11&lt;&gt;"^"),"",TUMDD(H11)))</f>
        <v/>
      </c>
      <c r="J11" s="83"/>
      <c r="K11" s="7"/>
      <c r="M11" s="6" t="s">
        <v>0</v>
      </c>
      <c r="N11" s="29"/>
      <c r="O11" s="28" t="str">
        <f>IF(N11="","",TUMDD(N11))</f>
        <v/>
      </c>
      <c r="P11" s="94"/>
      <c r="Q11" s="7"/>
      <c r="S11" s="6" t="s">
        <v>0</v>
      </c>
      <c r="T11" s="46"/>
      <c r="U11" s="28" t="str">
        <f>IF(T11="","",IF(AND(T11=N11,T11&lt;&gt;"(",T11&lt;&gt;"f",T11&lt;&gt;"^"),"",TUMDD(T11)))</f>
        <v/>
      </c>
      <c r="V11" s="67"/>
      <c r="W11" s="7"/>
      <c r="X11" s="30"/>
      <c r="Y11" s="53"/>
      <c r="AA11" s="49"/>
      <c r="AB11" s="49"/>
      <c r="AC11" s="49"/>
      <c r="AD11" s="49"/>
      <c r="AE11" s="49"/>
    </row>
    <row r="12" spans="1:31" ht="20.25" customHeight="1" x14ac:dyDescent="0.2">
      <c r="A12" s="16" t="s">
        <v>1</v>
      </c>
      <c r="B12" s="26"/>
      <c r="C12" s="28" t="str" cm="1">
        <f t="array" ref="C12">IF(OR(B12="",$P$4="L1",$P$4="L2",$P$4="L3",$P$4="L4"),"",IF(AND(NUMTWISTS(B12)&gt;1,$P$4="Se"),0,TUMDD(B12)))</f>
        <v/>
      </c>
      <c r="D12" s="84"/>
      <c r="E12" s="1"/>
      <c r="G12" s="2" t="s">
        <v>1</v>
      </c>
      <c r="H12" s="26"/>
      <c r="I12" s="28" t="str" cm="1">
        <f t="array" ref="I12">IF(H12="","",IF(AND(OR(AND(H12=B$17,H11=B$16),AND(H12=B$16,H11=B$15),AND(H12=B$15,H11=B$14),AND(H12=B$14,H11=B$13),AND(H12=B$13,H11=B$12),AND(H12=B$12,H11=B$11),AND(H12=B$18,H11=B$17)),H12&lt;&gt;"(",H12&lt;&gt;"f",H12&lt;&gt;"^"),"",TUMDD(H12)))</f>
        <v/>
      </c>
      <c r="J12" s="84"/>
      <c r="K12" s="1"/>
      <c r="M12" s="2" t="s">
        <v>1</v>
      </c>
      <c r="N12" s="26"/>
      <c r="O12" s="28" t="str">
        <f>IF(N12="","",TUMDD(N12))</f>
        <v/>
      </c>
      <c r="P12" s="95"/>
      <c r="Q12" s="1"/>
      <c r="S12" s="2" t="s">
        <v>1</v>
      </c>
      <c r="T12" s="47"/>
      <c r="U12" s="28" t="str">
        <f>IF(T12="","",IF(AND(OR(AND(T12=N$17,T11=N$16),AND(T12=N$16,T11=N$15),AND(T12=N$15,T11=N$14),AND(T12=N$14,T11=N$13),AND(T12=N$13,T11=N$12),AND(T12=N$12,T11=N$11),AND(T12=N$18,T11=N$17)),T12&lt;&gt;"(",T12&lt;&gt;"f",T12&lt;&gt;"^"),"",TUMDD(T12)))</f>
        <v/>
      </c>
      <c r="V12" s="68"/>
      <c r="W12" s="1"/>
      <c r="Z12" s="49"/>
      <c r="AA12" s="49"/>
      <c r="AB12" s="49"/>
      <c r="AC12" s="49"/>
      <c r="AD12" s="49"/>
      <c r="AE12" s="49"/>
    </row>
    <row r="13" spans="1:31" ht="20.25" customHeight="1" x14ac:dyDescent="0.2">
      <c r="A13" s="16" t="s">
        <v>2</v>
      </c>
      <c r="B13" s="26"/>
      <c r="C13" s="28" t="str" cm="1">
        <f t="array" ref="C13">IF(OR(B13="",$P$4="L1",$P$4="L2",$P$4="L3",$P$4="L4"),"",IF(AND(OR(AND(B13=B12,B12=B11)),B13&lt;&gt;"(",B13&lt;&gt;"f",B13&lt;&gt;"^"),"",IF(AND(NUMTWISTS(B13)&gt;1,$P$4="Se"),0,TUMDD(B13))))</f>
        <v/>
      </c>
      <c r="D13" s="84"/>
      <c r="E13" s="1"/>
      <c r="G13" s="2" t="s">
        <v>2</v>
      </c>
      <c r="H13" s="26"/>
      <c r="I13" s="28" t="str" cm="1">
        <f t="array" ref="I13">IF(H13="","",IF(AND(OR(AND(H13=B$17,H12=B$16),AND(H13=B$16,H12=B$15),AND(H13=B$15,H12=B$14),AND(H13=B$14,H12=B$13),AND(H13=B$13,H12=B$12),AND(H13=B$12,H12=B$11),AND(H13=B$18,H12=B$17),AND(H13=H12,H12=H11)),H13&lt;&gt;"(",H13&lt;&gt;"f",H13&lt;&gt;"^"),"",TUMDD(H13)))</f>
        <v/>
      </c>
      <c r="J13" s="84"/>
      <c r="K13" s="1"/>
      <c r="M13" s="2" t="s">
        <v>2</v>
      </c>
      <c r="N13" s="26"/>
      <c r="O13" s="28" t="str">
        <f>IF(N13="","",IF(AND(OR(AND(N13=N12,N12=N11)),N13&lt;&gt;"(",N13&lt;&gt;"f",N13&lt;&gt;"^"),"",TUMDD(N13)))</f>
        <v/>
      </c>
      <c r="P13" s="95"/>
      <c r="Q13" s="1"/>
      <c r="S13" s="2" t="s">
        <v>2</v>
      </c>
      <c r="T13" s="47"/>
      <c r="U13" s="28" t="str">
        <f>IF(T13="","",IF(AND(OR(AND(T13=N$17,T12=N$16),AND(T13=N$16,T12=N$15),AND(T13=N$15,T12=N$14),AND(T13=N$14,T12=N$13),AND(T13=N$13,T12=N$12),AND(T13=N$12,T12=N$11),AND(T13=N$18,T12=N$17),AND(T13=T12,T12=T11)),T13&lt;&gt;"(",T13&lt;&gt;"f",T13&lt;&gt;"^"),"",TUMDD(T13)))</f>
        <v/>
      </c>
      <c r="V13" s="68"/>
      <c r="W13" s="1"/>
      <c r="Z13" s="49"/>
      <c r="AA13" s="49"/>
      <c r="AB13" s="49"/>
      <c r="AC13" s="49"/>
      <c r="AD13" s="49"/>
      <c r="AE13" s="49"/>
    </row>
    <row r="14" spans="1:31" ht="20.25" customHeight="1" x14ac:dyDescent="0.2">
      <c r="A14" s="16" t="s">
        <v>3</v>
      </c>
      <c r="B14" s="26"/>
      <c r="C14" s="28" t="str" cm="1">
        <f t="array" ref="C14">IF(OR(B14="",$P$4="L1",$P$4="L2",$P$4="L3",$P$4="L4"),"",IF(AND(OR(AND(B14=B13,B13=B12),AND(B14=B12,B13=B11)),B14&lt;&gt;"(",B14&lt;&gt;"f",B14&lt;&gt;"^"),"",IF(AND(NUMTWISTS(B14)&gt;1,$P$4="Se"),0,TUMDD(B14))))</f>
        <v/>
      </c>
      <c r="D14" s="84"/>
      <c r="E14" s="1"/>
      <c r="G14" s="2" t="s">
        <v>3</v>
      </c>
      <c r="H14" s="26"/>
      <c r="I14" s="28" t="str" cm="1">
        <f t="array" ref="I14">IF(H14="","",IF(AND(OR(AND(H14=B$17,H13=B$16),AND(H14=B$16,H13=B$15),AND(H14=B$15,H13=B$14),AND(H14=B$14,H13=B$13),AND(H14=B$13,H13=B$12),AND(H14=B$12,H13=B$11),AND(H14=B$18,H13=B$17),AND(H14=H13,H13=H12),AND(H14=H12,H13=H11)),H14&lt;&gt;"(",H14&lt;&gt;"f",H14&lt;&gt;"^"),"",TUMDD(H14)))</f>
        <v/>
      </c>
      <c r="J14" s="84"/>
      <c r="K14" s="1"/>
      <c r="M14" s="2" t="s">
        <v>3</v>
      </c>
      <c r="N14" s="26"/>
      <c r="O14" s="28" t="str">
        <f>IF(N14="","",IF(AND(OR(AND(N14=N13,N13=N12),AND(N14=N12,N13=N11)),N14&lt;&gt;"(",N14&lt;&gt;"f",N14&lt;&gt;"^"),"",TUMDD(N14)))</f>
        <v/>
      </c>
      <c r="P14" s="95"/>
      <c r="Q14" s="1"/>
      <c r="S14" s="2" t="s">
        <v>3</v>
      </c>
      <c r="T14" s="47"/>
      <c r="U14" s="28" t="str">
        <f>IF(T14="","",IF(AND(OR(AND(T14=N$17,T13=N$16),AND(T14=N$16,T13=N$15),AND(T14=N$15,T13=N$14),AND(T14=N$14,T13=N$13),AND(T14=N$13,T13=N$12),AND(T14=N$12,T13=N$11),AND(T14=N$18,T13=N$17),AND(T14=T13,T13=T12),AND(T14=T12,T13=T11)),T14&lt;&gt;"(",T14&lt;&gt;"f",T14&lt;&gt;"^"),"",TUMDD(T14)))</f>
        <v/>
      </c>
      <c r="V14" s="68"/>
      <c r="W14" s="1"/>
      <c r="Z14" s="49"/>
      <c r="AA14" s="49"/>
      <c r="AB14" s="49"/>
      <c r="AC14" s="49"/>
      <c r="AD14" s="49"/>
      <c r="AE14" s="49"/>
    </row>
    <row r="15" spans="1:31" ht="20.25" customHeight="1" x14ac:dyDescent="0.2">
      <c r="A15" s="16" t="s">
        <v>4</v>
      </c>
      <c r="B15" s="26"/>
      <c r="C15" s="28" t="str" cm="1">
        <f t="array" ref="C15">IF(OR(B15="",$P$4="L1",$P$4="L2",$P$4="L3",$P$4="L4"),"",IF(AND(OR(AND(B15=B14,B14=B13),AND(B15=B13,B14=B12),AND(B15=B12,B14=B11)),B15&lt;&gt;"(",B15&lt;&gt;"f",B15&lt;&gt;"^"),"",IF(AND(NUMTWISTS(B15)&gt;1,$P$4="Se"),0,TUMDD(B15))))</f>
        <v/>
      </c>
      <c r="D15" s="84"/>
      <c r="E15" s="1"/>
      <c r="G15" s="2" t="s">
        <v>4</v>
      </c>
      <c r="H15" s="26"/>
      <c r="I15" s="28" t="str" cm="1">
        <f t="array" ref="I15">IF(H15="","",IF(AND(OR(AND(H15=B$17,H14=B$16),AND(H15=B$16,H14=B$15),AND(H15=B$15,H14=B$14),AND(H15=B$14,H14=B$13),AND(H15=B$13,H14=B$12),AND(H15=B$12,H14=B$11),AND(H15=B$18,H14=B$17),AND(H15=H14,H14=H13),AND(H15=H13,H14=H12),AND(H15=H12,H14=H11)),H15&lt;&gt;"(",H15&lt;&gt;"f",H15&lt;&gt;"^"),"",TUMDD(H15)))</f>
        <v/>
      </c>
      <c r="J15" s="84"/>
      <c r="K15" s="1"/>
      <c r="M15" s="2" t="s">
        <v>4</v>
      </c>
      <c r="N15" s="26"/>
      <c r="O15" s="28" t="str">
        <f>IF(N15="","",IF(AND(OR(AND(N15=N14,N14=N13),AND(N15=N13,N14=N12),AND(N15=N12,N14=N11)),N15&lt;&gt;"(",N15&lt;&gt;"f",N15&lt;&gt;"^"),"",TUMDD(N15)))</f>
        <v/>
      </c>
      <c r="P15" s="95"/>
      <c r="Q15" s="1"/>
      <c r="S15" s="2" t="s">
        <v>4</v>
      </c>
      <c r="T15" s="47"/>
      <c r="U15" s="28" t="str">
        <f>IF(T15="","",IF(AND(OR(AND(T15=N$17,T14=N$16),AND(T15=N$16,T14=N$15),AND(T15=N$15,T14=N$14),AND(T15=N$14,T14=N$13),AND(T15=N$13,T14=N$12),AND(T15=N$12,T14=N$11),AND(T15=N$18,T14=N$17),AND(T15=T14,T14=T13),AND(T15=T13,T14=T12),AND(T15=T12,T14=T11)),T15&lt;&gt;"(",T15&lt;&gt;"f",T15&lt;&gt;"^"),"",TUMDD(T15)))</f>
        <v/>
      </c>
      <c r="V15" s="68"/>
      <c r="W15" s="1"/>
      <c r="Y15" s="30"/>
      <c r="Z15" s="49"/>
      <c r="AA15" s="49"/>
      <c r="AB15" s="49"/>
      <c r="AC15" s="49"/>
      <c r="AD15" s="49"/>
      <c r="AE15" s="49"/>
    </row>
    <row r="16" spans="1:31" ht="20.25" customHeight="1" x14ac:dyDescent="0.2">
      <c r="A16" s="16" t="s">
        <v>5</v>
      </c>
      <c r="B16" s="26"/>
      <c r="C16" s="28" t="str" cm="1">
        <f t="array" ref="C16">IF(OR(B16="",$P$4="L1",$P$4="L2",$P$4="L3",$P$4="L4"),"",IF(AND(OR(AND(B16=B15,B15=B14),AND(B16=B14,B15=B13),AND(B16=B13,B15=B12),AND(B16=B12,B15=B11)),B16&lt;&gt;"(",B16&lt;&gt;"f",B16&lt;&gt;"^"),"",IF(AND(NUMTWISTS(B16)&gt;1,$P$4="Se"),0,TUMDD(B16))))</f>
        <v/>
      </c>
      <c r="D16" s="84"/>
      <c r="E16" s="1"/>
      <c r="G16" s="2" t="s">
        <v>5</v>
      </c>
      <c r="H16" s="26"/>
      <c r="I16" s="28" t="str" cm="1">
        <f t="array" ref="I16">IF(H16="","",IF(AND(OR(AND(H16=B$17,H15=B$16),AND(H16=B$16,H15=B$15),AND(H16=B$15,H15=B$14),AND(H16=B$14,H15=B$13),AND(H16=B$13,H15=B$12),AND(H16=B$12,H15=B$11),AND(H16=B$18,H15=B$17),AND(H16=H15,H15=H14),AND(H16=H14,H15=H13),AND(H16=H13,H15=H12),AND(H16=H12,H15=H11)),H16&lt;&gt;"(",H16&lt;&gt;"f",H16&lt;&gt;"^"),"",TUMDD(H16)))</f>
        <v/>
      </c>
      <c r="J16" s="84"/>
      <c r="K16" s="1"/>
      <c r="M16" s="2" t="s">
        <v>5</v>
      </c>
      <c r="N16" s="26"/>
      <c r="O16" s="28" t="str">
        <f>IF(N16="","",IF(AND(OR(AND(N16=N15,N15=N14),AND(N16=N14,N15=N13),AND(N16=N13,N15=N12),AND(N16=N12,N15=N11)),N16&lt;&gt;"(",N16&lt;&gt;"f",N16&lt;&gt;"^"),"",TUMDD(N16)))</f>
        <v/>
      </c>
      <c r="P16" s="95"/>
      <c r="Q16" s="1"/>
      <c r="S16" s="2" t="s">
        <v>5</v>
      </c>
      <c r="T16" s="47"/>
      <c r="U16" s="28" t="str">
        <f>IF(T16="","",IF(AND(OR(AND(T16=N$17,T15=N$16),AND(T16=N$16,T15=N$15),AND(T16=N$15,T15=N$14),AND(T16=N$14,T15=N$13),AND(T16=N$13,T15=N$12),AND(T16=N$12,T15=N$11),AND(T16=N$18,T15=N$17),AND(T16=T15,T15=T14),AND(T16=T14,T15=T13),AND(T16=T13,T15=T12),AND(T16=T12,T15=T11)),T16&lt;&gt;"(",T16&lt;&gt;"f",T16&lt;&gt;"^"),"",TUMDD(T16)))</f>
        <v/>
      </c>
      <c r="V16" s="68"/>
      <c r="W16" s="1"/>
      <c r="Z16" s="49"/>
      <c r="AA16" s="49"/>
      <c r="AB16" s="49"/>
      <c r="AC16" s="49"/>
      <c r="AD16" s="49"/>
      <c r="AE16" s="49"/>
    </row>
    <row r="17" spans="1:31" ht="20.25" customHeight="1" x14ac:dyDescent="0.2">
      <c r="A17" s="16" t="s">
        <v>6</v>
      </c>
      <c r="B17" s="26"/>
      <c r="C17" s="28" t="str" cm="1">
        <f t="array" ref="C17">IF(OR(B17="",$P$4="L1",$P$4="L2",$P$4="L3",$P$4="L4"),"",IF(AND(OR(AND(B17=B16,B16=B15),AND(B17=B15,B16=B14),AND(B17=B14,B16=B13),AND(B17=B13,B16=B12),AND(B17=B12,B16=B11)),B17&lt;&gt;"(",B17&lt;&gt;"f",B17&lt;&gt;"^"),"",IF(AND(NUMTWISTS(B17)&gt;1,$P$4="Se"),0,TUMDD(B17))))</f>
        <v/>
      </c>
      <c r="D17" s="84"/>
      <c r="E17" s="1"/>
      <c r="G17" s="2" t="s">
        <v>6</v>
      </c>
      <c r="H17" s="26"/>
      <c r="I17" s="28" t="str" cm="1">
        <f t="array" ref="I17">IF(H17="","",IF(AND(OR(AND(H17=B$17,H16=B$16),AND(H17=B$16,H16=B$15),AND(H17=B$15,H16=B$14),AND(H17=B$14,H16=B$13),AND(H17=B$13,H16=B$12),AND(H17=B$12,H16=B$11),AND(H17=B$18,H16=B$17),AND(H17=H16,H16=H15),AND(H17=H15,H16=H14),AND(H17=H14,H16=H13),AND(H17=H13,H16=H12),AND(H17=H12,H16=H11)),H17&lt;&gt;"(",H17&lt;&gt;"f",H17&lt;&gt;"^"),"",TUMDD(H17)))</f>
        <v/>
      </c>
      <c r="J17" s="84"/>
      <c r="K17" s="1"/>
      <c r="M17" s="2" t="s">
        <v>6</v>
      </c>
      <c r="N17" s="26"/>
      <c r="O17" s="28" t="str">
        <f>IF(N17="","",IF(AND(OR(AND(N17=N16,N16=N15),AND(N17=N15,N16=N14),AND(N17=N14,N16=N13),AND(N17=N13,N16=N12),AND(N17=N12,N16=N11)),N17&lt;&gt;"(",N17&lt;&gt;"f",N17&lt;&gt;"^"),"",TUMDD(N17)))</f>
        <v/>
      </c>
      <c r="P17" s="95"/>
      <c r="Q17" s="1"/>
      <c r="S17" s="2" t="s">
        <v>6</v>
      </c>
      <c r="T17" s="47"/>
      <c r="U17" s="28" t="str">
        <f>IF(T17="","",IF(AND(OR(AND(T17=N$17,T16=N$16),AND(T17=N$16,T16=N$15),AND(T17=N$15,T16=N$14),AND(T17=N$14,T16=N$13),AND(T17=N$13,T16=N$12),AND(T17=N$12,T16=N$11),AND(T17=N$18,T16=N$17),AND(T17=T16,T16=T15),AND(T17=T15,T16=T14),AND(T17=T14,T16=T13),AND(T17=T13,T16=T12),AND(T17=T12,T16=T11)),T17&lt;&gt;"(",T17&lt;&gt;"f",T17&lt;&gt;"^"),"",TUMDD(T17)))</f>
        <v/>
      </c>
      <c r="V17" s="68"/>
      <c r="W17" s="1"/>
      <c r="Z17" s="49"/>
      <c r="AA17" s="49"/>
      <c r="AB17" s="49"/>
      <c r="AC17" s="49"/>
      <c r="AD17" s="49"/>
      <c r="AE17" s="49"/>
    </row>
    <row r="18" spans="1:31" ht="20.25" customHeight="1" x14ac:dyDescent="0.2">
      <c r="A18" s="16" t="s">
        <v>7</v>
      </c>
      <c r="B18" s="26"/>
      <c r="C18" s="28" t="str" cm="1">
        <f t="array" ref="C18">IF(OR(B18="",$P$4="L1",$P$4="L2",$P$4="L3",$P$4="L4"),"",IF(AND(OR(AND(B18=B17,B17=B16),AND(B18=B16,B17=B15),AND(B18=B15,B17=B14),AND(B18=B14,B17=B13),AND(B18=B13,B17=B12),AND(B18=B12,B17=B11)),B18&lt;&gt;"(",B18&lt;&gt;"f",B18&lt;&gt;"^"),"",IF(AND(NUMTWISTS(B18)&gt;1,$P$4="Se"),0,TUMDD(B18))))</f>
        <v/>
      </c>
      <c r="D18" s="84"/>
      <c r="E18" s="1"/>
      <c r="G18" s="2" t="s">
        <v>7</v>
      </c>
      <c r="H18" s="26"/>
      <c r="I18" s="28" t="str" cm="1">
        <f t="array" ref="I18">IF(H18="","",IF(AND(OR(AND(H18=B$17,H17=B$16),AND(H18=B$16,H17=B$15),AND(H18=B$15,H17=B$14),AND(H18=B$14,H17=B$13),AND(H18=B$13,H17=B$12),AND(H18=B$12,H17=B$11),AND(H18=B$18,H17=B$17),AND(H18=H17,H17=H16),AND(H18=H16,H17=H15),AND(H18=H15,H17=H14),AND(H18=H14,H17=H13),AND(H18=H13,H17=H12),AND(H18=H12,H17=H11)),H18&lt;&gt;"(",H18&lt;&gt;"f",H18&lt;&gt;"^"),"",IF(AND(NUMTWISTS(H18)&lt;2,$P$4="Se"),0,TUMDD(H18))))</f>
        <v/>
      </c>
      <c r="J18" s="84"/>
      <c r="K18" s="1"/>
      <c r="M18" s="2" t="s">
        <v>7</v>
      </c>
      <c r="N18" s="26"/>
      <c r="O18" s="28" t="str">
        <f>IF(N18="","",IF(AND(OR(AND(N18=N17,N17=N16),AND(N18=N16,N17=N15),AND(N18=N15,N17=N14),AND(N18=N14,N17=N13),AND(N18=N13,N17=N12),AND(N18=N12,N17=N11)),N18&lt;&gt;"(",N18&lt;&gt;"f",N18&lt;&gt;"^"),"",TUMDD(N18)))</f>
        <v/>
      </c>
      <c r="P18" s="95"/>
      <c r="Q18" s="1"/>
      <c r="S18" s="2" t="s">
        <v>7</v>
      </c>
      <c r="T18" s="47"/>
      <c r="U18" s="28" t="str">
        <f>IF(T18="","",IF(AND(OR(AND(T18=N$17,T17=N$16),AND(T18=N$16,T17=N$15),AND(T18=N$15,T17=N$14),AND(T18=N$14,T17=N$13),AND(T18=N$13,T17=N$12),AND(T18=N$12,T17=N$11),AND(T18=N$18,T17=N$17),AND(T18=T17,T17=T16),AND(T18=T16,T17=T15),AND(T18=T15,T17=T14),AND(T18=T14,T17=T13),AND(T18=T13,T17=T12),AND(T18=T12,T17=T11)),T18&lt;&gt;"(",T18&lt;&gt;"f",T18&lt;&gt;"^"),"",TUMDD(T18)))</f>
        <v/>
      </c>
      <c r="V18" s="68"/>
      <c r="W18" s="1"/>
      <c r="Z18" s="49"/>
      <c r="AA18" s="49"/>
      <c r="AB18" s="49"/>
      <c r="AC18" s="49"/>
      <c r="AD18" s="49"/>
      <c r="AE18" s="49"/>
    </row>
    <row r="19" spans="1:31" s="3" customFormat="1" ht="20.25" customHeight="1" x14ac:dyDescent="0.2">
      <c r="A19" s="96" t="str">
        <f>IF(AND($L$3="Women/Femmes",COUNTIF(C11:C18,"&gt;=2")&gt;1),"Total DD*","Total DD")</f>
        <v>Total DD</v>
      </c>
      <c r="B19" s="97"/>
      <c r="C19" s="27" t="str">
        <f>IF(SUM(C11:C18)=0,"",SUM(C11:C18)+IF(AND($L$3="Women/Femmes",COUNTIF(C11:C18,"&gt;=2")&gt;1),COUNTIF(C11:C18,"&gt;=2")-1,0))</f>
        <v/>
      </c>
      <c r="D19" s="12" t="s">
        <v>9</v>
      </c>
      <c r="E19" s="11"/>
      <c r="G19" s="98" t="str">
        <f>IF(AND($L$3="Women/Femmes",COUNTIF(I11:I18,"&gt;=2")&gt;1),"Total DD*","Total DD")</f>
        <v>Total DD</v>
      </c>
      <c r="H19" s="99"/>
      <c r="I19" s="27" t="str">
        <f>IF(SUM(I11:I18)=0,"",SUM(I11:I18)+IF(AND($L$3="Women/Femmes",COUNTIF(I11:I18,"&gt;=2")&gt;1),COUNTIF(I11:I18,"&gt;=2")-1,0))</f>
        <v/>
      </c>
      <c r="J19" s="12" t="s">
        <v>9</v>
      </c>
      <c r="K19" s="13"/>
      <c r="M19" s="98" t="str">
        <f>IF(AND($L$3="Women/Femmes",COUNTIF(O11:O18,"&gt;=2")&gt;1),"Total DD*","Total DD")</f>
        <v>Total DD</v>
      </c>
      <c r="N19" s="99"/>
      <c r="O19" s="27" t="str">
        <f>IF(SUM(O11:O18)=0,"",SUM(O11:O18)+IF(AND($L$3="Women/Femmes",COUNTIF(O11:O18,"&gt;=2")&gt;1),COUNTIF(O11:O18,"&gt;=2")-1,0))</f>
        <v/>
      </c>
      <c r="P19" s="12" t="s">
        <v>9</v>
      </c>
      <c r="Q19" s="13"/>
      <c r="S19" s="69" t="str">
        <f>IF(AND($L$3="Women/Femmes",COUNTIF(U11:U18,"&gt;=2")&gt;1),"Total DD*","Total DD")</f>
        <v>Total DD</v>
      </c>
      <c r="T19" s="70"/>
      <c r="U19" s="27" t="str">
        <f>IF(SUM(U11:U18)=0,"",SUM(U11:U18)+IF(AND($L$3="Women/Femmes",COUNTIF(U11:U18,"&gt;=2")&gt;1),COUNTIF(U11:U18,"&gt;=2")-1,0))</f>
        <v/>
      </c>
      <c r="V19" s="35" t="s">
        <v>9</v>
      </c>
      <c r="W19" s="13"/>
      <c r="Y19"/>
      <c r="Z19" s="49"/>
      <c r="AA19" s="49"/>
      <c r="AB19" s="49"/>
      <c r="AC19" s="50"/>
      <c r="AD19" s="50"/>
      <c r="AE19" s="50"/>
    </row>
    <row r="20" spans="1:31" s="3" customFormat="1" ht="20.25" customHeight="1" thickBot="1" x14ac:dyDescent="0.25">
      <c r="A20" s="103" t="s">
        <v>18</v>
      </c>
      <c r="B20" s="104"/>
      <c r="C20" s="54" t="str" cm="1">
        <f t="array" ref="C20">IF(C19="","",IF($P$4="L5",SUMPRODUCT(--(LEN(B11:B18)=3),--(C11:C18&lt;&gt;"")),IF(OR($P$4="L6",$P$4="Ju",$P$4="L7",AND($L$3="Women/Femmes",$P$4="Se")),IF((SUMPRODUCT(--(B11:B17="1/"),--(C11:C17&lt;&gt;""))+SUMPRODUCT(--(B11:B17=".1/"),--(C11:C17&lt;&gt;""))+SUMPRODUCT(--(B11:B17="1"),--(C11:C17&lt;&gt;""))+SUMPRODUCT(--(B11:B17=".1"),--(C11:C17&lt;&gt;""))+SUMPRODUCT(--(B11:B17="2"),--(C11:C17&lt;&gt;""))+SUMPRODUCT(--(B11:B17="2."),--(C11:C17&lt;&gt;""))+SUMPRODUCT(--(LEN(B11:B17)=3),--(C11:C17&lt;&gt;"")))*0.3&gt;0.6,0.6,(SUMPRODUCT(--(B11:B17="1/"),--(C11:C17&lt;&gt;""))+SUMPRODUCT(--(B11:B17=".1/"),--(C11:C17&lt;&gt;""))+SUMPRODUCT(--(B11:B17="1"),--(C11:C17&lt;&gt;""))+SUMPRODUCT(--(B11:B17=".1"),--(C11:C17&lt;&gt;""))+SUMPRODUCT(--(B11:B17="2"),--(C11:C17&lt;&gt;""))+SUMPRODUCT(--(B11:B17="2."),--(C11:C17&lt;&gt;""))+SUMPRODUCT(--(LEN(B11:B17)=3),--(C11:C17&lt;&gt;"")))*0.3),0)))</f>
        <v/>
      </c>
      <c r="D20" s="55" t="s">
        <v>19</v>
      </c>
      <c r="E20" s="56"/>
      <c r="G20" s="105" t="s">
        <v>18</v>
      </c>
      <c r="H20" s="106"/>
      <c r="I20" s="54" t="str" cm="1">
        <f t="array" ref="I20">IF(I19="","",IF(OR($P$4="L2",$P$4="L3",$P$4="L4"),IF(I19&gt;=K8,0.3,0),IF(OR($P$4="L5"),SUMPRODUCT(--(LEN(H11:H18)=3),--(I11:I18&lt;&gt;"")),IF(OR($P$4="L6",$P$4="Ju",$P$4="L7",AND($L$3="Women/Femmes",$P$4="Se")),IF((SUMPRODUCT(--(H11:H17="1/"),--(I11:I17&lt;&gt;""))+SUMPRODUCT(--(H11:H17=".1/"),--(I11:I17&lt;&gt;""))+SUMPRODUCT(--(H11:H17="1"),--(I11:I17&lt;&gt;""))+SUMPRODUCT(--(H11:H17=".1"),--(I11:I17&lt;&gt;""))+SUMPRODUCT(--(H11:H17="2"),--(I11:I17&lt;&gt;""))+SUMPRODUCT(--(H11:H17="2."),--(I11:I17&lt;&gt;""))+SUMPRODUCT(--(LEN(H11:H17)=3),--(I11:I17&lt;&gt;"")))*0.3&gt;0.6,0.6,(SUMPRODUCT(--(H11:H17="1/"),--(I11:I17&lt;&gt;""))+SUMPRODUCT(--(H11:H17=".1/"),--(I11:I17&lt;&gt;""))+SUMPRODUCT(--(H11:H17="1"),--(I11:I17&lt;&gt;""))+SUMPRODUCT(--(H11:H17=".1"),--(I11:I17&lt;&gt;""))+SUMPRODUCT(--(H11:H17="2"),--(I11:I17&lt;&gt;""))+SUMPRODUCT(--(H11:H17="2."),--(I11:I17&lt;&gt;""))+SUMPRODUCT(--(LEN(H11:H17)=3),--(I11:I17&lt;&gt;"")))*0.3),0))))</f>
        <v/>
      </c>
      <c r="J20" s="55" t="s">
        <v>19</v>
      </c>
      <c r="K20" s="57"/>
      <c r="M20" s="105" t="s">
        <v>18</v>
      </c>
      <c r="N20" s="106"/>
      <c r="O20" s="54" t="str" cm="1">
        <f t="array" ref="O20">IF(O19="","",IF(OR($P$4="L2",$P$4="L3",$P$4="L4"),IF(O19&gt;=Q8,0.3,0),IF(OR($P$4="L5"),SUMPRODUCT(--(LEN(N11:N18)=3),--(O11:O18&lt;&gt;"")),IF(OR($P$4="L6",$P$4="Ju",$P$4="L7",AND($L$3="Women/Femmes",$P$4="Se")),IF((SUMPRODUCT(--(N11:N17="1/"),--(O11:O17&lt;&gt;""))+SUMPRODUCT(--(N11:N17=".1/"),--(O11:O17&lt;&gt;""))+SUMPRODUCT(--(N11:N17="1"),--(O11:O17&lt;&gt;""))+SUMPRODUCT(--(N11:N17=".1"),--(O11:O17&lt;&gt;""))+SUMPRODUCT(--(N11:N17="2"),--(O11:O17&lt;&gt;""))+SUMPRODUCT(--(N11:N17="2."),--(O11:O17&lt;&gt;""))+SUMPRODUCT(--(LEN(N11:N17)=3),--(O11:O17&lt;&gt;"")))*0.3&gt;0.6,0.6,(SUMPRODUCT(--(N11:N17="1/"),--(O11:O17&lt;&gt;""))+SUMPRODUCT(--(N11:N17=".1/"),--(O11:O17&lt;&gt;""))+SUMPRODUCT(--(N11:N17="1"),--(O11:O17&lt;&gt;""))+SUMPRODUCT(--(N11:N17=".1"),--(O11:O17&lt;&gt;""))+SUMPRODUCT(--(N11:N17="2"),--(O11:O17&lt;&gt;""))+SUMPRODUCT(--(N11:N17="2."),--(O11:O17&lt;&gt;""))+SUMPRODUCT(--(LEN(N11:N17)=3),--(O11:O17&lt;&gt;"")))*0.3),0))))</f>
        <v/>
      </c>
      <c r="P20" s="55" t="s">
        <v>19</v>
      </c>
      <c r="Q20" s="57"/>
      <c r="S20" s="65" t="s">
        <v>18</v>
      </c>
      <c r="T20" s="66"/>
      <c r="U20" s="54" t="str" cm="1">
        <f t="array" ref="U20">IF(U19="","",IF(OR($P$4="L4",$P$4="L5"),SUMPRODUCT(--(LEN(T11:T18)=3),--(U11:U18&lt;&gt;"")),IF(OR($P$4="L6",$P$4="Ju",$P$4="L7",AND($L$3="Women/Femmes",$P$4="Se")),IF((SUMPRODUCT(--(T11:T17="1/"),--(U11:U17&lt;&gt;""))+SUMPRODUCT(--(T11:T17=".1/"),--(U11:U17&lt;&gt;""))+SUMPRODUCT(--(T11:T17="1"),--(U11:U17&lt;&gt;""))+SUMPRODUCT(--(T11:T17=".1"),--(U11:U17&lt;&gt;""))+SUMPRODUCT(--(T11:T17="2"),--(U11:U17&lt;&gt;""))+SUMPRODUCT(--(T11:T17="2."),--(U11:U17&lt;&gt;""))+SUMPRODUCT(--(LEN(T11:T17)=3),--(U11:U17&lt;&gt;"")))*0.3&gt;0.6,0.6,(SUMPRODUCT(--(T11:T17="1/"),--(U11:U17&lt;&gt;""))+SUMPRODUCT(--(T11:T17=".1/"),--(U11:U17&lt;&gt;""))+SUMPRODUCT(--(T11:T17="1"),--(U11:U17&lt;&gt;""))+SUMPRODUCT(--(T11:T17=".1"),--(U11:U17&lt;&gt;""))+SUMPRODUCT(--(T11:T17="2"),--(U11:U17&lt;&gt;""))+SUMPRODUCT(--(T11:T17="2."),--(U11:U17&lt;&gt;""))+SUMPRODUCT(--(LEN(T11:T17)=3),--(U11:U17&lt;&gt;"")))*0.3),0)))</f>
        <v/>
      </c>
      <c r="V20" s="58" t="s">
        <v>19</v>
      </c>
      <c r="W20" s="57"/>
      <c r="Y20"/>
      <c r="Z20" s="49"/>
      <c r="AA20" s="49"/>
      <c r="AB20" s="49"/>
      <c r="AC20" s="50"/>
      <c r="AD20" s="50"/>
      <c r="AE20" s="50"/>
    </row>
    <row r="21" spans="1:31" s="3" customFormat="1" ht="20.25" customHeight="1" thickBot="1" x14ac:dyDescent="0.25">
      <c r="A21" s="100" t="s">
        <v>13</v>
      </c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W21" s="102"/>
      <c r="Z21" s="49"/>
      <c r="AA21" s="49"/>
      <c r="AB21" s="49"/>
      <c r="AC21" s="50"/>
      <c r="AD21" s="50"/>
      <c r="AE21" s="50"/>
    </row>
    <row r="22" spans="1:31" x14ac:dyDescent="0.2">
      <c r="A22" s="91" t="s">
        <v>24</v>
      </c>
      <c r="B22" s="92"/>
      <c r="C22" s="92"/>
      <c r="D22" s="92"/>
      <c r="E22" s="93"/>
      <c r="G22" s="91" t="s">
        <v>24</v>
      </c>
      <c r="H22" s="92"/>
      <c r="I22" s="92"/>
      <c r="J22" s="92"/>
      <c r="K22" s="93"/>
      <c r="M22" s="91" t="s">
        <v>24</v>
      </c>
      <c r="N22" s="92"/>
      <c r="O22" s="92"/>
      <c r="P22" s="92"/>
      <c r="Q22" s="93"/>
      <c r="S22" s="91" t="s">
        <v>24</v>
      </c>
      <c r="T22" s="92"/>
      <c r="U22" s="92"/>
      <c r="V22" s="92"/>
      <c r="W22" s="93"/>
      <c r="Z22" s="49"/>
      <c r="AA22" s="49"/>
      <c r="AB22" s="49"/>
      <c r="AC22" s="49"/>
      <c r="AD22" s="49"/>
      <c r="AE22" s="49"/>
    </row>
    <row r="23" spans="1:31" x14ac:dyDescent="0.2">
      <c r="A23" s="32" t="str">
        <f>IF(B23&lt;&gt;"","r","")</f>
        <v/>
      </c>
      <c r="B23" s="89" t="str">
        <f>IF($P$4="L1","End with a straight jump",IF($P$4="L5","Element 1.1 or higher (one prelim pass)",IF(OR($P$4="L6",$P$4="L7"),"Element with at least 360˚ twist (one prelim pass)",IF($P$4="Ju","Element 2.0 or higher",IF($P$4="Se","1 Double","")))))</f>
        <v/>
      </c>
      <c r="C23" s="89"/>
      <c r="D23" s="89"/>
      <c r="E23" s="90"/>
      <c r="G23" s="32" t="str">
        <f>IF(H23&lt;&gt;"","r","")</f>
        <v/>
      </c>
      <c r="H23" s="89" t="str">
        <f>IF($P$4="L1","Maximum 1 salto",IF($P$4="L2","Minimum 1 salto",IF($P$4="L3","Minimum 3 saltos",IF($P$4="L4","Minimum 4 saltos",IF($P$4="L5","Element 1.1 or higher (one prelim pass)",IF(OR($P$4="L6",$P$4="L7"),"Element with at least 360˚ twist (one prelim pass)",IF($P$4="Ju","Element with at least 360˚ twist",IF($P$4="Se","1 Double",""))))))))</f>
        <v/>
      </c>
      <c r="I23" s="89"/>
      <c r="J23" s="89"/>
      <c r="K23" s="90"/>
      <c r="M23" s="32" t="str">
        <f>IF(N23&lt;&gt;"","r","")</f>
        <v/>
      </c>
      <c r="N23" s="89" t="str">
        <f>IF($P$4="L1","Maximum 1 salto",IF($P$4="L2","Minimum 1 salto",IF($P$4="L3","Minimum 3 saltos",IF($P$4="L4","Minimum 4 saltos",IF($P$4="L5","Element 0.9 or higher","")))))</f>
        <v/>
      </c>
      <c r="O23" s="89"/>
      <c r="P23" s="89"/>
      <c r="Q23" s="90"/>
      <c r="S23" s="32" t="str">
        <f>IF(T23&lt;&gt;"","r","")</f>
        <v/>
      </c>
      <c r="T23" s="89" t="str">
        <f>IF(OR($P$4="L3",$P$4="L4"),"Minimum 1 salto",IF($P$4="L5","Element 1.1 or higher",""))</f>
        <v/>
      </c>
      <c r="U23" s="89"/>
      <c r="V23" s="89"/>
      <c r="W23" s="90"/>
      <c r="Z23" s="49"/>
      <c r="AA23" s="49"/>
      <c r="AB23" s="49"/>
      <c r="AC23" s="49"/>
      <c r="AD23" s="49"/>
      <c r="AE23" s="49"/>
    </row>
    <row r="24" spans="1:31" x14ac:dyDescent="0.2">
      <c r="A24" s="32" t="str">
        <f>IF(B24&lt;&gt;"","r","")</f>
        <v/>
      </c>
      <c r="B24" s="89" t="str">
        <f>IF($P$4="L5","Element 0.9 or higher (can combine)",IF($P$4="Se","No element with more than 180˚ twist",""))</f>
        <v/>
      </c>
      <c r="C24" s="89"/>
      <c r="D24" s="89"/>
      <c r="E24" s="90"/>
      <c r="G24" s="32" t="str">
        <f>IF(H24&lt;&gt;"","r","")</f>
        <v/>
      </c>
      <c r="H24" s="89" t="str">
        <f>IF($P$4="L1","No element with twist",IF($P$4="L2","Maximum 2 saltos",IF($P$4="L3","Maximum 5 saltos",IF($P$4="L4","Maximum 2.0 per element",IF($P$4="L5","Element with at least 360˚ twist (can combine)",IF($P$4="Se","8th element with at least 360˚ twist",""))))))</f>
        <v/>
      </c>
      <c r="I24" s="89"/>
      <c r="J24" s="89"/>
      <c r="K24" s="90"/>
      <c r="M24" s="32" t="str">
        <f>IF(N24&lt;&gt;"","r","")</f>
        <v/>
      </c>
      <c r="N24" s="89" t="str">
        <f>IF($P$4="L1","No element with twist",IF($P$4="L2","Maximum 2 saltos",IF($P$4="L3","Maximum 5 saltos",IF($P$4="L4","Maximum 2.0 per element",""))))</f>
        <v/>
      </c>
      <c r="O24" s="89"/>
      <c r="P24" s="89"/>
      <c r="Q24" s="90"/>
      <c r="S24" s="32" t="str">
        <f>IF(T24&lt;&gt;"","r","")</f>
        <v/>
      </c>
      <c r="T24" s="89" t="str">
        <f>IF($P$4="L3","Maximum 1.3 per element",IF($P$4="L4","Maximum 2.2 per element",""))</f>
        <v/>
      </c>
      <c r="U24" s="89"/>
      <c r="V24" s="89"/>
      <c r="W24" s="90"/>
      <c r="Z24" s="49"/>
      <c r="AA24" s="49"/>
      <c r="AB24" s="49"/>
      <c r="AC24" s="49"/>
      <c r="AD24" s="49"/>
      <c r="AE24" s="49"/>
    </row>
    <row r="25" spans="1:31" ht="16" thickBot="1" x14ac:dyDescent="0.25">
      <c r="A25" s="33" t="str">
        <f>IF(B25&lt;&gt;"","r","")</f>
        <v/>
      </c>
      <c r="B25" s="87"/>
      <c r="C25" s="87"/>
      <c r="D25" s="87"/>
      <c r="E25" s="88"/>
      <c r="G25" s="33" t="str">
        <f>IF(H25&lt;&gt;"","r","")</f>
        <v/>
      </c>
      <c r="H25" s="87" t="str">
        <f>IF($P$4="L1","End with straight jump or salto",IF(OR($P$4="L2",$P$4="L3"),"Maximum 0.9 per element",""))</f>
        <v/>
      </c>
      <c r="I25" s="87"/>
      <c r="J25" s="87"/>
      <c r="K25" s="88"/>
      <c r="M25" s="33" t="str">
        <f>IF(N25&lt;&gt;"","r","")</f>
        <v/>
      </c>
      <c r="N25" s="87" t="str">
        <f>IF($P$4="L1","End with straight jump or salto",IF(OR($P$4="L2",$P$4="L3"),"Maximum 0.9 per element",""))</f>
        <v/>
      </c>
      <c r="O25" s="87"/>
      <c r="P25" s="87"/>
      <c r="Q25" s="88"/>
      <c r="S25" s="33" t="str">
        <f>IF(T25&lt;&gt;"","r","")</f>
        <v/>
      </c>
      <c r="T25" s="87"/>
      <c r="U25" s="87"/>
      <c r="V25" s="87"/>
      <c r="W25" s="88"/>
      <c r="Z25" s="49"/>
      <c r="AA25" s="49"/>
      <c r="AB25" s="49"/>
      <c r="AC25" s="49"/>
      <c r="AD25" s="49"/>
      <c r="AE25" s="49"/>
    </row>
    <row r="26" spans="1:31" x14ac:dyDescent="0.2">
      <c r="Z26" s="49"/>
      <c r="AA26" s="49"/>
      <c r="AB26" s="49"/>
      <c r="AC26" s="49"/>
      <c r="AD26" s="49"/>
      <c r="AE26" s="49"/>
    </row>
    <row r="27" spans="1:31" x14ac:dyDescent="0.2">
      <c r="B27" t="s">
        <v>27</v>
      </c>
      <c r="Z27" s="49"/>
      <c r="AA27" s="49"/>
      <c r="AB27" s="49"/>
      <c r="AC27" s="49"/>
      <c r="AD27" s="49"/>
      <c r="AE27" s="49"/>
    </row>
    <row r="28" spans="1:31" x14ac:dyDescent="0.2">
      <c r="Z28" s="49"/>
      <c r="AA28" s="49"/>
      <c r="AB28" s="49"/>
      <c r="AC28" s="49"/>
      <c r="AD28" s="49"/>
      <c r="AE28" s="49"/>
    </row>
    <row r="29" spans="1:31" x14ac:dyDescent="0.2">
      <c r="Z29" s="49"/>
      <c r="AA29" s="49"/>
      <c r="AB29" s="49"/>
      <c r="AC29" s="49"/>
      <c r="AD29" s="49"/>
      <c r="AE29" s="49"/>
    </row>
    <row r="30" spans="1:31" x14ac:dyDescent="0.2">
      <c r="Z30" s="49"/>
      <c r="AA30" s="49"/>
      <c r="AB30" s="49"/>
      <c r="AC30" s="49"/>
      <c r="AD30" s="49"/>
      <c r="AE30" s="49"/>
    </row>
    <row r="31" spans="1:31" x14ac:dyDescent="0.2">
      <c r="Z31" s="49"/>
      <c r="AA31" s="49"/>
      <c r="AB31" s="49"/>
      <c r="AC31" s="49"/>
      <c r="AD31" s="49"/>
      <c r="AE31" s="49"/>
    </row>
  </sheetData>
  <sheetProtection algorithmName="SHA-512" hashValue="ZgZfcveaKr+zy3iqCuE9ZSqDLLN93G88Z30FmSAZqKdlWUksrw0WYbqML6hdJ2+SWHlNLe1I/CF9fBqIPU2LqQ==" saltValue="+QXNpSZ00lz81VqsSYNQlg==" spinCount="100000" sheet="1" objects="1" scenarios="1"/>
  <mergeCells count="49">
    <mergeCell ref="A19:B19"/>
    <mergeCell ref="M19:N19"/>
    <mergeCell ref="G19:H19"/>
    <mergeCell ref="T23:W23"/>
    <mergeCell ref="B25:E25"/>
    <mergeCell ref="H25:K25"/>
    <mergeCell ref="B24:E24"/>
    <mergeCell ref="H24:K24"/>
    <mergeCell ref="M22:Q22"/>
    <mergeCell ref="N23:Q23"/>
    <mergeCell ref="A22:E22"/>
    <mergeCell ref="G22:K22"/>
    <mergeCell ref="A21:W21"/>
    <mergeCell ref="A20:B20"/>
    <mergeCell ref="G20:H20"/>
    <mergeCell ref="M20:N20"/>
    <mergeCell ref="D11:D18"/>
    <mergeCell ref="J11:J18"/>
    <mergeCell ref="G9:I9"/>
    <mergeCell ref="S10:T10"/>
    <mergeCell ref="T25:W25"/>
    <mergeCell ref="N24:Q24"/>
    <mergeCell ref="T24:W24"/>
    <mergeCell ref="S22:W22"/>
    <mergeCell ref="B23:E23"/>
    <mergeCell ref="H23:K23"/>
    <mergeCell ref="N25:Q25"/>
    <mergeCell ref="P11:P18"/>
    <mergeCell ref="J9:K9"/>
    <mergeCell ref="A10:B10"/>
    <mergeCell ref="G10:H10"/>
    <mergeCell ref="A9:C9"/>
    <mergeCell ref="A1:W1"/>
    <mergeCell ref="S6:W7"/>
    <mergeCell ref="S9:U9"/>
    <mergeCell ref="V9:W9"/>
    <mergeCell ref="B3:D3"/>
    <mergeCell ref="M9:O9"/>
    <mergeCell ref="P9:Q9"/>
    <mergeCell ref="G3:J3"/>
    <mergeCell ref="L3:N3"/>
    <mergeCell ref="A6:E7"/>
    <mergeCell ref="G6:K7"/>
    <mergeCell ref="D9:E9"/>
    <mergeCell ref="M6:Q7"/>
    <mergeCell ref="S20:T20"/>
    <mergeCell ref="V11:V18"/>
    <mergeCell ref="S19:T19"/>
    <mergeCell ref="M10:N10"/>
  </mergeCells>
  <conditionalFormatting sqref="S14:U18">
    <cfRule type="expression" dxfId="18" priority="32">
      <formula>IF(OR($P$4="L3",$P$4="L4",$P$4="L5"),1,0)</formula>
    </cfRule>
  </conditionalFormatting>
  <conditionalFormatting sqref="B11:C18">
    <cfRule type="expression" dxfId="17" priority="21">
      <formula>IF($C11="N/A",1,0)</formula>
    </cfRule>
    <cfRule type="expression" dxfId="16" priority="31">
      <formula>IF(AND($B11&lt;&gt;"",$C11="",NOT(OR($P$4="L1",$P$4="L2",$P$4="L3",$P$4="L4"))),1,0)</formula>
    </cfRule>
  </conditionalFormatting>
  <conditionalFormatting sqref="I11:I18">
    <cfRule type="expression" dxfId="15" priority="30">
      <formula>IF(AND($H11&lt;&gt;"",$I11=""),1,0)</formula>
    </cfRule>
  </conditionalFormatting>
  <conditionalFormatting sqref="O11:O18">
    <cfRule type="expression" dxfId="14" priority="29">
      <formula>IF(AND($N11&lt;&gt;"",$O11=""),1,0)</formula>
    </cfRule>
  </conditionalFormatting>
  <conditionalFormatting sqref="I11:I18">
    <cfRule type="expression" dxfId="13" priority="20">
      <formula>IF($I11="N/A",1,0)</formula>
    </cfRule>
  </conditionalFormatting>
  <conditionalFormatting sqref="O11:O18">
    <cfRule type="expression" dxfId="12" priority="19">
      <formula>IF($O11="N/A",1,0)</formula>
    </cfRule>
  </conditionalFormatting>
  <conditionalFormatting sqref="T11:U18">
    <cfRule type="expression" dxfId="11" priority="18">
      <formula>IF($U11="N/A",1,0)</formula>
    </cfRule>
  </conditionalFormatting>
  <conditionalFormatting sqref="S11:T18 S19:S20 S10 U12:U18 W10:W20 U10:V11 U19:V20 S6:W9 S22:W25">
    <cfRule type="expression" dxfId="10" priority="17">
      <formula>IF(OR($P$4="L1",$P$4="L2"),1,0)</formula>
    </cfRule>
  </conditionalFormatting>
  <conditionalFormatting sqref="A16:C18 G16:G18 M16:M18 I16:I18 O16:O18">
    <cfRule type="expression" dxfId="9" priority="16">
      <formula>IF(OR($P$4="L1",$P$4="L2"),1,0)</formula>
    </cfRule>
  </conditionalFormatting>
  <conditionalFormatting sqref="T11:U18">
    <cfRule type="expression" dxfId="8" priority="34">
      <formula>IF(AND($T11&lt;&gt;"",$U11=""),1,0)</formula>
    </cfRule>
  </conditionalFormatting>
  <conditionalFormatting sqref="C19 I19 O19 U19">
    <cfRule type="expression" dxfId="7" priority="7">
      <formula>IF(AND(C$19&lt;&gt;"",SUM(C11:C18)&lt;C$8),1,0)</formula>
    </cfRule>
    <cfRule type="expression" dxfId="6" priority="8">
      <formula>IF(AND(C$19&lt;&gt;"",SUM(C11:C18)&gt;E$8),1,0)</formula>
    </cfRule>
  </conditionalFormatting>
  <conditionalFormatting sqref="H11:H18">
    <cfRule type="expression" dxfId="5" priority="5">
      <formula>IF($H11="N/A",1,0)</formula>
    </cfRule>
    <cfRule type="expression" dxfId="4" priority="6">
      <formula>IF(AND($H11&lt;&gt;"",$I11="",NOT(OR($P$4="L1",$P$4="L2",$P$4="L3",$P$4="L4"))),1,0)</formula>
    </cfRule>
  </conditionalFormatting>
  <conditionalFormatting sqref="H16:H18">
    <cfRule type="expression" dxfId="3" priority="4">
      <formula>IF(OR($P$4="L1",$P$4="L2"),1,0)</formula>
    </cfRule>
  </conditionalFormatting>
  <conditionalFormatting sqref="N11:N18">
    <cfRule type="expression" dxfId="2" priority="2">
      <formula>IF($N11="N/A",1,0)</formula>
    </cfRule>
    <cfRule type="expression" dxfId="1" priority="3">
      <formula>IF(AND($N11&lt;&gt;"",$O11="",NOT(OR($P$4="L1",$P$4="L2",$P$4="L3",$P$4="L4"))),1,0)</formula>
    </cfRule>
  </conditionalFormatting>
  <conditionalFormatting sqref="N16:N18">
    <cfRule type="expression" dxfId="0" priority="1">
      <formula>IF(OR($P$4="L1",$P$4="L2"),1,0)</formula>
    </cfRule>
  </conditionalFormatting>
  <dataValidations count="3">
    <dataValidation type="list" allowBlank="1" showInputMessage="1" showErrorMessage="1" sqref="L3:N3" xr:uid="{00000000-0002-0000-0000-000000000000}">
      <formula1>"Choose:,Women/Femmes, Men/Hommes"</formula1>
    </dataValidation>
    <dataValidation type="list" allowBlank="1" showInputMessage="1" sqref="B11:B18 T11:T18 H11:H18 N11:N18" xr:uid="{A036E7B3-2B07-A344-8569-5103BE93ED94}">
      <formula1>"(,f,^,-o,-&lt;,-/,2,4,--o,--&lt;,--/,2-o,2-&lt;,2-/,-2o,-2/,22o,22/,24o,24/,---o,---&lt;"</formula1>
    </dataValidation>
    <dataValidation type="list" allowBlank="1" showInputMessage="1" showErrorMessage="1" sqref="P3" xr:uid="{BADE7765-AB3E-9E40-868E-83E9F982D4F5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1" orientation="landscape" r:id="rId1"/>
  <headerFooter>
    <oddFooter>&amp;R&amp;"Calibri,Regular"&amp;K0000002021 version 1.0 (Sept 2020)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_xludf.Duplicate">
                <anchor moveWithCells="1" sizeWithCells="1">
                  <from>
                    <xdr:col>24</xdr:col>
                    <xdr:colOff>12700</xdr:colOff>
                    <xdr:row>1</xdr:row>
                    <xdr:rowOff>25400</xdr:rowOff>
                  </from>
                  <to>
                    <xdr:col>24</xdr:col>
                    <xdr:colOff>850900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TUM</vt:lpstr>
      <vt:lpstr>'DD TUM'!Print_Area</vt:lpstr>
      <vt:lpstr>TUMM</vt:lpstr>
      <vt:lpstr>TUMW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2018-06-01T14:37:17Z</cp:lastPrinted>
  <dcterms:created xsi:type="dcterms:W3CDTF">2006-09-12T15:06:44Z</dcterms:created>
  <dcterms:modified xsi:type="dcterms:W3CDTF">2020-09-21T00:47:52Z</dcterms:modified>
  <cp:category/>
</cp:coreProperties>
</file>