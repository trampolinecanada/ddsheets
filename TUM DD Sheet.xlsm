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DD Sheets/"/>
    </mc:Choice>
  </mc:AlternateContent>
  <xr:revisionPtr revIDLastSave="0" documentId="13_ncr:1_{3F35361C-8435-F341-A0BA-7FD841D33F75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DD TUM" sheetId="1" r:id="rId1"/>
  </sheets>
  <functionGroups builtInGroupCount="19"/>
  <definedNames>
    <definedName name="_xlnm.Print_Area" localSheetId="0">'DD TUM'!$A$1:$Q$48</definedName>
    <definedName name="TUMM">'DD TUM'!$AB$3:$AB$14</definedName>
    <definedName name="TUMW">'DD TUM'!$AA$3:$AA$21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7" i="1" l="1"/>
  <c r="O20" i="1" a="1"/>
  <c r="O20" i="1" s="1"/>
  <c r="O19" i="1" a="1"/>
  <c r="O19" i="1" s="1"/>
  <c r="O18" i="1" a="1"/>
  <c r="O18" i="1" s="1"/>
  <c r="O17" i="1" a="1"/>
  <c r="O17" i="1" s="1"/>
  <c r="O16" i="1" a="1"/>
  <c r="O16" i="1" s="1"/>
  <c r="O15" i="1" a="1"/>
  <c r="O15" i="1" s="1"/>
  <c r="O14" i="1" a="1"/>
  <c r="O14" i="1" s="1"/>
  <c r="C38" i="1" a="1"/>
  <c r="C38" i="1" s="1"/>
  <c r="C35" i="1" a="1"/>
  <c r="C35" i="1" s="1"/>
  <c r="O13" i="1" a="1"/>
  <c r="O13" i="1" s="1"/>
  <c r="C36" i="1" a="1"/>
  <c r="C36" i="1" s="1"/>
  <c r="C34" i="1" a="1"/>
  <c r="C34" i="1" s="1"/>
  <c r="B25" i="1"/>
  <c r="H47" i="1"/>
  <c r="H46" i="1"/>
  <c r="B48" i="1"/>
  <c r="B46" i="1"/>
  <c r="I37" i="1" a="1"/>
  <c r="I37" i="1"/>
  <c r="I36" i="1" a="1"/>
  <c r="I36" i="1" s="1"/>
  <c r="I35" i="1" a="1"/>
  <c r="I35" i="1" s="1"/>
  <c r="I34" i="1" a="1"/>
  <c r="I34" i="1" s="1"/>
  <c r="H27" i="1"/>
  <c r="H26" i="1"/>
  <c r="H25" i="1"/>
  <c r="B27" i="1"/>
  <c r="B26" i="1"/>
  <c r="I20" i="1" a="1"/>
  <c r="I20" i="1" s="1"/>
  <c r="I19" i="1" a="1"/>
  <c r="I19" i="1" s="1"/>
  <c r="I18" i="1" a="1"/>
  <c r="I18" i="1" s="1"/>
  <c r="I17" i="1" a="1"/>
  <c r="I17" i="1" s="1"/>
  <c r="I16" i="1" a="1"/>
  <c r="I16" i="1" s="1"/>
  <c r="I15" i="1" a="1"/>
  <c r="I15" i="1" s="1"/>
  <c r="I14" i="1" a="1"/>
  <c r="I14" i="1" s="1"/>
  <c r="I13" i="1" a="1"/>
  <c r="I13" i="1" s="1"/>
  <c r="C20" i="1" a="1"/>
  <c r="C20" i="1" s="1"/>
  <c r="C19" i="1" a="1"/>
  <c r="C19" i="1" s="1"/>
  <c r="C18" i="1" a="1"/>
  <c r="C18" i="1" s="1"/>
  <c r="C16" i="1" a="1"/>
  <c r="C13" i="1" a="1"/>
  <c r="C15" i="1" a="1"/>
  <c r="C14" i="1" a="1"/>
  <c r="C17" i="1" a="1"/>
  <c r="Q10" i="1" a="1"/>
  <c r="I31" i="1" a="1"/>
  <c r="K31" i="1" a="1"/>
  <c r="E31" i="1" a="1"/>
  <c r="K10" i="1" a="1"/>
  <c r="C10" i="1" a="1"/>
  <c r="E10" i="1" a="1"/>
  <c r="C31" i="1" a="1"/>
  <c r="I10" i="1" a="1"/>
  <c r="O10" i="1" a="1"/>
  <c r="C13" i="1" l="1"/>
  <c r="C17" i="1"/>
  <c r="C14" i="1"/>
  <c r="C15" i="1"/>
  <c r="C16" i="1"/>
  <c r="I21" i="1"/>
  <c r="I22" i="1" s="1" a="1"/>
  <c r="I22" i="1" s="1"/>
  <c r="A21" i="1"/>
  <c r="G21" i="1"/>
  <c r="I31" i="1"/>
  <c r="K31" i="1"/>
  <c r="A42" i="1"/>
  <c r="C42" i="1"/>
  <c r="C43" i="1" s="1" a="1"/>
  <c r="C43" i="1" s="1"/>
  <c r="M21" i="1"/>
  <c r="O21" i="1"/>
  <c r="O22" i="1" s="1" a="1"/>
  <c r="O22" i="1" s="1"/>
  <c r="P30" i="1" a="1"/>
  <c r="P30" i="1" s="1"/>
  <c r="E31" i="1"/>
  <c r="C31" i="1"/>
  <c r="Q10" i="1"/>
  <c r="O10" i="1"/>
  <c r="I42" i="1"/>
  <c r="I43" i="1" s="1" a="1"/>
  <c r="I43" i="1" s="1"/>
  <c r="G42" i="1"/>
  <c r="K10" i="1"/>
  <c r="I10" i="1"/>
  <c r="E10" i="1"/>
  <c r="C10" i="1"/>
  <c r="C21" i="1" l="1"/>
  <c r="C22" i="1" s="1" a="1"/>
  <c r="C22" i="1" s="1"/>
  <c r="P32" i="1"/>
  <c r="P34" i="1"/>
  <c r="B6" i="1"/>
  <c r="M27" i="1"/>
  <c r="M26" i="1"/>
  <c r="M25" i="1"/>
  <c r="A25" i="1"/>
  <c r="G25" i="1"/>
  <c r="A26" i="1"/>
  <c r="G26" i="1"/>
  <c r="A27" i="1"/>
  <c r="C37" i="1" a="1"/>
  <c r="C37" i="1" s="1"/>
  <c r="C39" i="1" a="1"/>
  <c r="C39" i="1" s="1"/>
  <c r="C40" i="1" a="1"/>
  <c r="C40" i="1" s="1"/>
  <c r="C41" i="1" a="1"/>
  <c r="C41" i="1" s="1"/>
  <c r="A47" i="1"/>
  <c r="G46" i="1"/>
  <c r="G47" i="1"/>
  <c r="A48" i="1"/>
  <c r="A46" i="1"/>
  <c r="G27" i="1"/>
  <c r="I38" i="1" a="1"/>
  <c r="I38" i="1" s="1"/>
  <c r="I39" i="1" a="1"/>
  <c r="I40" i="1" a="1"/>
  <c r="I40" i="1" s="1"/>
  <c r="I41" i="1" a="1"/>
  <c r="I41" i="1" s="1"/>
  <c r="I39" i="1"/>
  <c r="G4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<sst xmlns="http://schemas.openxmlformats.org/spreadsheetml/2006/main" count="116" uniqueCount="34">
  <si>
    <t>1.</t>
  </si>
  <si>
    <t>2.</t>
  </si>
  <si>
    <t>3.</t>
  </si>
  <si>
    <t>4.</t>
  </si>
  <si>
    <t>5.</t>
  </si>
  <si>
    <t>6.</t>
  </si>
  <si>
    <t>7.</t>
  </si>
  <si>
    <t>8.</t>
  </si>
  <si>
    <t>DD</t>
  </si>
  <si>
    <t>Official DD</t>
  </si>
  <si>
    <t>Elements</t>
  </si>
  <si>
    <t>Athlete / Athlète</t>
  </si>
  <si>
    <t>Judges / Juges</t>
  </si>
  <si>
    <t>S E C T I O N   F O R   J U D G E S   O N L Y   -   S E C T I O N   P O U R   L E S   J U G E S   S E U L E M E N T</t>
  </si>
  <si>
    <t>DD SHEET - FEUILLE DE DIFFICULTÉ - TUMBLING (TUM)</t>
  </si>
  <si>
    <t>Bonus</t>
  </si>
  <si>
    <t>Official Bonus</t>
  </si>
  <si>
    <t>Name/Nom</t>
  </si>
  <si>
    <t>Club</t>
  </si>
  <si>
    <t>Event/Epreuve</t>
  </si>
  <si>
    <t>Category/Categorie</t>
  </si>
  <si>
    <t>Requirements:</t>
  </si>
  <si>
    <t>Min DD:</t>
  </si>
  <si>
    <t>Max DD:</t>
  </si>
  <si>
    <t>Gender/Genre</t>
  </si>
  <si>
    <t/>
  </si>
  <si>
    <t>Choose:</t>
  </si>
  <si>
    <t>Note: If using front and back skills with the same FIG code, use a period in front of front skills. For example, for front pike use .4-&lt;</t>
  </si>
  <si>
    <t>***DD Cards require macros to function, if you are not prompted by a message when opening you may need to enable macros under File &gt; Info &gt; Enable Content</t>
  </si>
  <si>
    <t>1st Pass / 1er passage (prelim.)</t>
  </si>
  <si>
    <t>2nd Pass / 2ème passage (prelim.)</t>
  </si>
  <si>
    <t>3rd Pass / 3ème passage (prelim.)</t>
  </si>
  <si>
    <t>1st Pass / 1er passage (finals)</t>
  </si>
  <si>
    <t>2nd Pass / 2ème passage (finals)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</si>
</sst>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6" xfId="0" applyBorder="1"/>
    <xf numFmtId="0" fontId="0" fillId="0" borderId="5" xfId="0" applyBorder="1"/>
    <xf numFmtId="0" fontId="5" fillId="0" borderId="0" xfId="0" applyFont="1"/>
    <xf numFmtId="0" fontId="7" fillId="0" borderId="0" xfId="0" applyFont="1"/>
    <xf numFmtId="0" fontId="8" fillId="0" borderId="0" xfId="0" applyFont="1"/>
    <xf numFmtId="0" fontId="0" fillId="0" borderId="7" xfId="0" applyBorder="1"/>
    <xf numFmtId="0" fontId="0" fillId="0" borderId="9" xfId="0" applyBorder="1"/>
    <xf numFmtId="0" fontId="5" fillId="0" borderId="0" xfId="0" applyFont="1" applyAlignment="1">
      <alignment vertical="center"/>
    </xf>
    <xf numFmtId="0" fontId="5" fillId="0" borderId="9" xfId="0" applyFont="1" applyBorder="1"/>
    <xf numFmtId="0" fontId="5" fillId="0" borderId="15" xfId="0" applyFont="1" applyBorder="1" applyAlignment="1">
      <alignment horizontal="right"/>
    </xf>
    <xf numFmtId="0" fontId="5" fillId="0" borderId="6" xfId="0" applyFont="1" applyBorder="1"/>
    <xf numFmtId="0" fontId="0" fillId="0" borderId="20" xfId="0" applyBorder="1"/>
    <xf numFmtId="0" fontId="0" fillId="0" borderId="21" xfId="0" applyBorder="1"/>
    <xf numFmtId="0" fontId="0" fillId="0" borderId="23" xfId="0" applyBorder="1"/>
    <xf numFmtId="0" fontId="0" fillId="0" borderId="24" xfId="0" applyBorder="1"/>
    <xf numFmtId="0" fontId="0" fillId="0" borderId="16" xfId="0" applyBorder="1"/>
    <xf numFmtId="0" fontId="0" fillId="0" borderId="25" xfId="0" applyBorder="1"/>
    <xf numFmtId="0" fontId="0" fillId="0" borderId="26" xfId="0" applyBorder="1"/>
    <xf numFmtId="49" fontId="0" fillId="2" borderId="1" xfId="0" applyNumberFormat="1" applyFill="1" applyBorder="1" applyProtection="1">
      <protection locked="0"/>
    </xf>
    <xf numFmtId="164" fontId="5" fillId="0" borderId="9" xfId="0" applyNumberFormat="1" applyFont="1" applyBorder="1" applyAlignment="1">
      <alignment wrapText="1"/>
    </xf>
    <xf numFmtId="164" fontId="0" fillId="2" borderId="9" xfId="0" applyNumberFormat="1" applyFill="1" applyBorder="1"/>
    <xf numFmtId="49" fontId="0" fillId="2" borderId="8" xfId="0" quotePrefix="1" applyNumberFormat="1" applyFill="1" applyBorder="1" applyProtection="1">
      <protection locked="0"/>
    </xf>
    <xf numFmtId="0" fontId="10" fillId="0" borderId="23" xfId="0" applyFont="1" applyBorder="1"/>
    <xf numFmtId="0" fontId="10" fillId="0" borderId="16" xfId="0" applyFont="1" applyBorder="1"/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64" fontId="3" fillId="2" borderId="28" xfId="0" applyNumberFormat="1" applyFont="1" applyFill="1" applyBorder="1" applyAlignment="1">
      <alignment horizontal="center" vertical="center"/>
    </xf>
    <xf numFmtId="164" fontId="3" fillId="2" borderId="29" xfId="0" applyNumberFormat="1" applyFont="1" applyFill="1" applyBorder="1" applyAlignment="1">
      <alignment horizontal="center" vertical="center"/>
    </xf>
    <xf numFmtId="0" fontId="3" fillId="0" borderId="0" xfId="0" applyFont="1"/>
    <xf numFmtId="0" fontId="13" fillId="0" borderId="25" xfId="0" applyFont="1" applyBorder="1"/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quotePrefix="1"/>
    <xf numFmtId="164" fontId="5" fillId="0" borderId="30" xfId="0" applyNumberFormat="1" applyFont="1" applyBorder="1" applyAlignment="1">
      <alignment wrapText="1"/>
    </xf>
    <xf numFmtId="0" fontId="5" fillId="0" borderId="31" xfId="0" applyFont="1" applyBorder="1" applyAlignment="1">
      <alignment horizontal="right"/>
    </xf>
    <xf numFmtId="0" fontId="5" fillId="0" borderId="30" xfId="0" applyFont="1" applyBorder="1"/>
    <xf numFmtId="0" fontId="5" fillId="0" borderId="34" xfId="0" applyFont="1" applyBorder="1"/>
    <xf numFmtId="0" fontId="5" fillId="0" borderId="0" xfId="0" applyFont="1" applyAlignment="1">
      <alignment horizontal="center"/>
    </xf>
    <xf numFmtId="0" fontId="5" fillId="0" borderId="11" xfId="0" applyFont="1" applyBorder="1" applyAlignment="1">
      <alignment horizontal="center"/>
    </xf>
    <xf numFmtId="0" fontId="5" fillId="3" borderId="35" xfId="0" applyFont="1" applyFill="1" applyBorder="1"/>
    <xf numFmtId="0" fontId="5" fillId="3" borderId="36" xfId="0" applyFont="1" applyFill="1" applyBorder="1"/>
    <xf numFmtId="0" fontId="5" fillId="3" borderId="37" xfId="0" applyFont="1" applyFill="1" applyBorder="1"/>
    <xf numFmtId="0" fontId="5" fillId="0" borderId="14" xfId="0" applyFont="1" applyBorder="1" applyAlignment="1">
      <alignment horizontal="center"/>
    </xf>
    <xf numFmtId="0" fontId="16" fillId="0" borderId="0" xfId="0" applyFont="1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13" fillId="0" borderId="0" xfId="0" applyFont="1"/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0" fillId="0" borderId="22" xfId="0" applyBorder="1"/>
    <xf numFmtId="0" fontId="5" fillId="0" borderId="12" xfId="0" applyFont="1" applyBorder="1" applyAlignment="1">
      <alignment horizontal="center"/>
    </xf>
    <xf numFmtId="0" fontId="0" fillId="2" borderId="0" xfId="0" applyFill="1" applyAlignment="1" applyProtection="1">
      <alignment horizontal="center"/>
      <protection locked="0"/>
    </xf>
    <xf numFmtId="0" fontId="9" fillId="0" borderId="25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24" xfId="0" applyFont="1" applyBorder="1" applyAlignment="1">
      <alignment horizontal="center"/>
    </xf>
    <xf numFmtId="0" fontId="11" fillId="0" borderId="0" xfId="0" applyFont="1"/>
    <xf numFmtId="0" fontId="11" fillId="0" borderId="24" xfId="0" applyFont="1" applyBorder="1"/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right"/>
    </xf>
    <xf numFmtId="0" fontId="5" fillId="0" borderId="1" xfId="0" applyFont="1" applyBorder="1" applyAlignment="1">
      <alignment horizontal="right"/>
    </xf>
    <xf numFmtId="0" fontId="11" fillId="0" borderId="25" xfId="0" applyFont="1" applyBorder="1"/>
    <xf numFmtId="0" fontId="11" fillId="0" borderId="26" xfId="0" applyFont="1" applyBorder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5" fillId="0" borderId="32" xfId="0" applyFont="1" applyBorder="1" applyAlignment="1">
      <alignment horizontal="right"/>
    </xf>
    <xf numFmtId="0" fontId="5" fillId="0" borderId="33" xfId="0" applyFont="1" applyBorder="1" applyAlignment="1">
      <alignment horizontal="right"/>
    </xf>
    <xf numFmtId="0" fontId="5" fillId="3" borderId="35" xfId="0" applyFont="1" applyFill="1" applyBorder="1" applyAlignment="1">
      <alignment horizontal="center"/>
    </xf>
    <xf numFmtId="0" fontId="5" fillId="3" borderId="36" xfId="0" applyFont="1" applyFill="1" applyBorder="1" applyAlignment="1">
      <alignment horizontal="center"/>
    </xf>
    <xf numFmtId="0" fontId="5" fillId="3" borderId="37" xfId="0" applyFont="1" applyFill="1" applyBorder="1" applyAlignment="1">
      <alignment horizontal="center"/>
    </xf>
    <xf numFmtId="0" fontId="5" fillId="0" borderId="7" xfId="0" applyFont="1" applyBorder="1" applyAlignment="1">
      <alignment horizontal="right"/>
    </xf>
    <xf numFmtId="0" fontId="5" fillId="0" borderId="8" xfId="0" applyFont="1" applyBorder="1" applyAlignment="1">
      <alignment horizontal="right"/>
    </xf>
    <xf numFmtId="0" fontId="5" fillId="0" borderId="18" xfId="0" applyFont="1" applyBorder="1" applyAlignment="1">
      <alignment horizontal="right"/>
    </xf>
    <xf numFmtId="0" fontId="5" fillId="0" borderId="19" xfId="0" applyFont="1" applyBorder="1" applyAlignment="1">
      <alignment horizontal="right"/>
    </xf>
  </cellXfs>
  <cellStyles count="1">
    <cellStyle name="Normal" xfId="0" builtinId="0"/>
  </cellStyles>
  <dxfs count="10">
    <dxf>
      <font>
        <color theme="0" tint="-0.34998626667073579"/>
      </font>
      <fill>
        <patternFill patternType="none">
          <bgColor auto="1"/>
        </patternFill>
      </fill>
    </dxf>
    <dxf>
      <fill>
        <patternFill patternType="lightGray">
          <bgColor theme="9" tint="0.7999816888943144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  <dxf>
      <font>
        <color theme="0" tint="-0.34998626667073579"/>
      </font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1</xdr:row>
          <xdr:rowOff>25400</xdr:rowOff>
        </xdr:from>
        <xdr:to>
          <xdr:col>20</xdr:col>
          <xdr:colOff>0</xdr:colOff>
          <xdr:row>2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E53"/>
  <sheetViews>
    <sheetView tabSelected="1" zoomScaleNormal="100" workbookViewId="0">
      <selection activeCell="B3" sqref="B3:D3"/>
    </sheetView>
  </sheetViews>
  <sheetFormatPr baseColWidth="10" defaultColWidth="11.5" defaultRowHeight="15" x14ac:dyDescent="0.2"/>
  <cols>
    <col min="1" max="1" width="3.6640625" customWidth="1"/>
    <col min="2" max="2" width="10.83203125" customWidth="1"/>
    <col min="3" max="3" width="6.83203125" customWidth="1"/>
    <col min="4" max="4" width="20.83203125" customWidth="1"/>
    <col min="5" max="5" width="6.83203125" customWidth="1"/>
    <col min="6" max="6" width="2.33203125" customWidth="1"/>
    <col min="7" max="7" width="3.6640625" customWidth="1"/>
    <col min="8" max="8" width="10.83203125" customWidth="1"/>
    <col min="9" max="9" width="6.83203125" customWidth="1"/>
    <col min="10" max="10" width="20.83203125" customWidth="1"/>
    <col min="11" max="11" width="6.83203125" customWidth="1"/>
    <col min="12" max="12" width="2.33203125" customWidth="1"/>
    <col min="13" max="13" width="3.6640625" customWidth="1"/>
    <col min="14" max="14" width="10.83203125" customWidth="1"/>
    <col min="15" max="15" width="6.83203125" customWidth="1"/>
    <col min="16" max="16" width="20.83203125" customWidth="1"/>
    <col min="17" max="17" width="6.83203125" customWidth="1"/>
    <col min="18" max="18" width="2.33203125" customWidth="1"/>
    <col min="19" max="19" width="3.6640625" customWidth="1"/>
    <col min="20" max="20" width="11.1640625" customWidth="1"/>
    <col min="21" max="21" width="5.33203125" customWidth="1"/>
    <col min="22" max="22" width="16.83203125" customWidth="1"/>
    <col min="23" max="23" width="5.33203125" customWidth="1"/>
  </cols>
  <sheetData>
    <row r="1" spans="1:31" ht="22" thickBot="1" x14ac:dyDescent="0.3">
      <c r="A1" s="54" t="s">
        <v>14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</row>
    <row r="2" spans="1:31" ht="19" customHeight="1" x14ac:dyDescent="0.2">
      <c r="A2" s="12"/>
      <c r="B2" s="13" t="s">
        <v>17</v>
      </c>
      <c r="C2" s="13"/>
      <c r="D2" s="13"/>
      <c r="E2" s="13"/>
      <c r="F2" s="13"/>
      <c r="G2" s="13" t="s">
        <v>18</v>
      </c>
      <c r="H2" s="13"/>
      <c r="I2" s="13"/>
      <c r="J2" s="13"/>
      <c r="K2" s="13"/>
      <c r="L2" s="13"/>
      <c r="M2" s="13"/>
      <c r="N2" s="13"/>
      <c r="O2" s="13"/>
      <c r="P2" s="13"/>
      <c r="Q2" s="51"/>
      <c r="Z2" s="31"/>
      <c r="AA2" s="31"/>
      <c r="AB2" s="31"/>
      <c r="AC2" s="31"/>
      <c r="AD2" s="31"/>
      <c r="AE2" s="31"/>
    </row>
    <row r="3" spans="1:31" ht="19" customHeight="1" x14ac:dyDescent="0.2">
      <c r="A3" s="14"/>
      <c r="B3" s="64"/>
      <c r="C3" s="65"/>
      <c r="D3" s="65"/>
      <c r="G3" s="66"/>
      <c r="H3" s="65"/>
      <c r="I3" s="65"/>
      <c r="J3" s="65"/>
      <c r="L3" s="49"/>
      <c r="M3" s="49"/>
      <c r="N3" s="49"/>
      <c r="P3" s="47"/>
      <c r="Q3" s="15"/>
      <c r="S3" s="49"/>
      <c r="T3" s="49"/>
      <c r="U3" s="49"/>
      <c r="V3" s="50"/>
      <c r="Z3" s="31"/>
      <c r="AA3" s="31"/>
      <c r="AB3" s="31"/>
      <c r="AC3" s="31"/>
      <c r="AD3" s="31"/>
      <c r="AE3" s="31"/>
    </row>
    <row r="4" spans="1:31" ht="19" customHeight="1" x14ac:dyDescent="0.2">
      <c r="A4" s="14"/>
      <c r="B4" t="s">
        <v>24</v>
      </c>
      <c r="G4" t="s">
        <v>20</v>
      </c>
      <c r="L4" t="s">
        <v>19</v>
      </c>
      <c r="P4" s="48"/>
      <c r="Q4" s="15"/>
      <c r="V4" s="50"/>
      <c r="Z4" s="31"/>
      <c r="AA4" s="31"/>
      <c r="AB4" s="31"/>
      <c r="AC4" s="31"/>
      <c r="AD4" s="31"/>
      <c r="AE4" s="31"/>
    </row>
    <row r="5" spans="1:31" ht="19" customHeight="1" x14ac:dyDescent="0.2">
      <c r="A5" s="14"/>
      <c r="B5" s="53" t="s">
        <v>26</v>
      </c>
      <c r="C5" s="53"/>
      <c r="D5" s="53"/>
      <c r="G5" s="53" t="s">
        <v>26</v>
      </c>
      <c r="H5" s="53"/>
      <c r="I5" s="53"/>
      <c r="J5" s="53"/>
      <c r="K5" s="49"/>
      <c r="L5" s="53" t="s">
        <v>26</v>
      </c>
      <c r="M5" s="53"/>
      <c r="N5" s="53"/>
      <c r="P5" s="48"/>
      <c r="Q5" s="15"/>
      <c r="V5" s="50"/>
      <c r="Z5" s="31"/>
      <c r="AA5" s="31"/>
      <c r="AB5" s="31"/>
      <c r="AC5" s="31"/>
      <c r="AD5" s="31"/>
      <c r="AE5" s="31"/>
    </row>
    <row r="6" spans="1:31" ht="19" customHeight="1" thickBot="1" x14ac:dyDescent="0.25">
      <c r="A6" s="16"/>
      <c r="B6" s="30" t="str">
        <f>LEFT(B4,2)</f>
        <v>Ge</v>
      </c>
      <c r="C6" s="17"/>
      <c r="D6" s="17"/>
      <c r="E6" s="17"/>
      <c r="F6" s="30"/>
      <c r="G6" s="17"/>
      <c r="H6" s="17"/>
      <c r="I6" s="17"/>
      <c r="J6" s="17"/>
      <c r="K6" s="17"/>
      <c r="L6" s="30"/>
      <c r="M6" s="17"/>
      <c r="N6" s="17"/>
      <c r="O6" s="17"/>
      <c r="P6" s="30"/>
      <c r="Q6" s="18"/>
      <c r="Z6" s="31"/>
      <c r="AA6" s="31"/>
      <c r="AB6" s="31"/>
      <c r="AC6" s="31"/>
      <c r="AD6" s="31"/>
      <c r="AE6" s="31"/>
    </row>
    <row r="7" spans="1:31" ht="8.25" customHeight="1" thickBot="1" x14ac:dyDescent="0.25">
      <c r="Z7" s="31"/>
      <c r="AA7" s="31"/>
      <c r="AB7" s="31"/>
      <c r="AC7" s="31"/>
      <c r="AD7" s="31"/>
      <c r="AE7" s="31"/>
    </row>
    <row r="8" spans="1:31" s="3" customFormat="1" ht="15" customHeight="1" x14ac:dyDescent="0.25">
      <c r="A8" s="67" t="s">
        <v>29</v>
      </c>
      <c r="B8" s="68"/>
      <c r="C8" s="68"/>
      <c r="D8" s="68"/>
      <c r="E8" s="69"/>
      <c r="G8" s="67" t="s">
        <v>30</v>
      </c>
      <c r="H8" s="68"/>
      <c r="I8" s="68"/>
      <c r="J8" s="68"/>
      <c r="K8" s="69"/>
      <c r="L8" s="4"/>
      <c r="M8" s="67" t="s">
        <v>31</v>
      </c>
      <c r="N8" s="68"/>
      <c r="O8" s="68"/>
      <c r="P8" s="68"/>
      <c r="Q8" s="69"/>
      <c r="Z8" s="31"/>
      <c r="AA8" s="31"/>
      <c r="AB8" s="31"/>
      <c r="AC8" s="32"/>
      <c r="AD8" s="32"/>
      <c r="AE8" s="32"/>
    </row>
    <row r="9" spans="1:31" ht="19" x14ac:dyDescent="0.25">
      <c r="A9" s="70"/>
      <c r="B9" s="71"/>
      <c r="C9" s="71"/>
      <c r="D9" s="71"/>
      <c r="E9" s="72"/>
      <c r="G9" s="70"/>
      <c r="H9" s="71"/>
      <c r="I9" s="71"/>
      <c r="J9" s="71"/>
      <c r="K9" s="72"/>
      <c r="L9" s="5"/>
      <c r="M9" s="70"/>
      <c r="N9" s="71"/>
      <c r="O9" s="71"/>
      <c r="P9" s="71"/>
      <c r="Q9" s="72"/>
      <c r="Z9" s="31"/>
      <c r="AA9" s="31"/>
      <c r="AB9" s="31"/>
      <c r="AC9" s="31"/>
      <c r="AD9" s="31"/>
      <c r="AE9" s="31"/>
    </row>
    <row r="10" spans="1:31" ht="16" x14ac:dyDescent="0.2">
      <c r="A10" s="25"/>
      <c r="B10" s="26" t="s">
        <v>22</v>
      </c>
      <c r="C10" s="27" t="str" cm="1">
        <f t="array" ref="C10">MINTUMDD(B5,LEFT(G5,2),1)</f>
        <v/>
      </c>
      <c r="D10" s="26" t="s">
        <v>23</v>
      </c>
      <c r="E10" s="28" t="str" cm="1">
        <f t="array" ref="E10">MAXTUMDD(B5,LEFT(G5,2),1)</f>
        <v/>
      </c>
      <c r="F10" s="29"/>
      <c r="G10" s="25"/>
      <c r="H10" s="26" t="s">
        <v>22</v>
      </c>
      <c r="I10" s="27" t="str" cm="1">
        <f t="array" ref="I10">MINTUMDD(B5,LEFT(G5,2),2)</f>
        <v/>
      </c>
      <c r="J10" s="26" t="s">
        <v>23</v>
      </c>
      <c r="K10" s="28" t="str" cm="1">
        <f t="array" ref="K10">MAXTUMDD(B5,LEFT(G5,2),2)</f>
        <v/>
      </c>
      <c r="L10" s="29"/>
      <c r="M10" s="25"/>
      <c r="N10" s="26" t="s">
        <v>22</v>
      </c>
      <c r="O10" s="27" t="str" cm="1">
        <f t="array" ref="O10">MINTUMDD(B5,LEFT(G5,2),3)</f>
        <v/>
      </c>
      <c r="P10" s="26" t="s">
        <v>23</v>
      </c>
      <c r="Q10" s="28" t="str" cm="1">
        <f t="array" ref="Q10">MAXTUMDD(B5,LEFT(G5,2),3)</f>
        <v/>
      </c>
      <c r="Z10" s="34"/>
      <c r="AA10" s="31"/>
      <c r="AB10" s="31"/>
      <c r="AC10" s="31"/>
      <c r="AD10" s="31"/>
      <c r="AE10" s="31"/>
    </row>
    <row r="11" spans="1:31" s="8" customFormat="1" ht="20.25" customHeight="1" x14ac:dyDescent="0.2">
      <c r="A11" s="62" t="s">
        <v>11</v>
      </c>
      <c r="B11" s="63"/>
      <c r="C11" s="63"/>
      <c r="D11" s="73" t="s">
        <v>12</v>
      </c>
      <c r="E11" s="74"/>
      <c r="G11" s="62" t="s">
        <v>11</v>
      </c>
      <c r="H11" s="63"/>
      <c r="I11" s="63"/>
      <c r="J11" s="73" t="s">
        <v>12</v>
      </c>
      <c r="K11" s="74"/>
      <c r="M11" s="62" t="s">
        <v>11</v>
      </c>
      <c r="N11" s="63"/>
      <c r="O11" s="63"/>
      <c r="P11" s="73" t="s">
        <v>12</v>
      </c>
      <c r="Q11" s="74"/>
      <c r="Z11" s="31"/>
      <c r="AA11" s="34"/>
      <c r="AB11" s="31"/>
      <c r="AC11" s="33"/>
      <c r="AD11" s="33"/>
      <c r="AE11" s="33"/>
    </row>
    <row r="12" spans="1:31" s="3" customFormat="1" ht="16" thickBot="1" x14ac:dyDescent="0.25">
      <c r="A12" s="60" t="s">
        <v>10</v>
      </c>
      <c r="B12" s="61"/>
      <c r="C12" s="41" t="s">
        <v>8</v>
      </c>
      <c r="D12" s="45"/>
      <c r="E12" s="52" t="s">
        <v>8</v>
      </c>
      <c r="F12" s="40"/>
      <c r="G12" s="60" t="s">
        <v>10</v>
      </c>
      <c r="H12" s="61"/>
      <c r="I12" s="41" t="s">
        <v>8</v>
      </c>
      <c r="J12" s="45"/>
      <c r="K12" s="52" t="s">
        <v>8</v>
      </c>
      <c r="L12" s="40"/>
      <c r="M12" s="60" t="s">
        <v>10</v>
      </c>
      <c r="N12" s="61"/>
      <c r="O12" s="41" t="s">
        <v>8</v>
      </c>
      <c r="P12" s="45"/>
      <c r="Q12" s="52" t="s">
        <v>8</v>
      </c>
      <c r="Z12" s="31"/>
      <c r="AA12" s="31"/>
      <c r="AB12" s="31"/>
      <c r="AC12" s="32"/>
      <c r="AD12" s="32"/>
      <c r="AE12" s="32"/>
    </row>
    <row r="13" spans="1:31" ht="20.25" customHeight="1" thickTop="1" x14ac:dyDescent="0.2">
      <c r="A13" s="6" t="s">
        <v>0</v>
      </c>
      <c r="B13" s="22"/>
      <c r="C13" s="21" t="str" cm="1">
        <f t="array" ref="C13">IF(OR(B13="",LEFT($G$5,2)="L1",LEFT($G$5,2)="L2",LEFT($G$5,2)="L3",LEFT($G$5,2)="L4"),"",TUMDD(B13))</f>
        <v/>
      </c>
      <c r="D13" s="79"/>
      <c r="E13" s="7"/>
      <c r="G13" s="6" t="s">
        <v>0</v>
      </c>
      <c r="H13" s="22"/>
      <c r="I13" s="21" t="str" cm="1">
        <f t="array" ref="I13">IF(OR(H13="",AND(AND(H13&lt;&gt;"(",H13&lt;&gt;"2",H13&lt;&gt;"^",H13&lt;&gt;"f"),AND(AND(LEFT($G$5,2)&lt;&gt;"L1",LEFT($G$5,2)&lt;&gt;"L2",LEFT($G$5,2)&lt;&gt;"L3",LEFT($G$5,2)&lt;&gt;"L4"),OR(H13=B$20,H13=B$19,H13=B$18,H13=B$17,H13=B$16,H13=B$15,H13=B$14,H13=B$13)))),"",TUMDD(H13))</f>
        <v/>
      </c>
      <c r="J13" s="79"/>
      <c r="K13" s="7"/>
      <c r="M13" s="6" t="s">
        <v>0</v>
      </c>
      <c r="N13" s="22"/>
      <c r="O13" s="21" t="str" cm="1">
        <f t="array" ref="O13">IF(N13="","",TUMDD(N13))</f>
        <v/>
      </c>
      <c r="P13" s="79"/>
      <c r="Q13" s="7"/>
      <c r="Y13" s="35"/>
      <c r="AA13" s="31"/>
      <c r="AB13" s="31"/>
      <c r="AC13" s="31"/>
      <c r="AD13" s="31"/>
      <c r="AE13" s="31"/>
    </row>
    <row r="14" spans="1:31" ht="20.25" customHeight="1" x14ac:dyDescent="0.2">
      <c r="A14" s="2" t="s">
        <v>1</v>
      </c>
      <c r="B14" s="19"/>
      <c r="C14" s="21" t="str" cm="1">
        <f t="array" ref="C14">IF(OR(B14="",LEFT($G$5,2)="L1",LEFT($G$5,2)="L2",LEFT($G$5,2)="L3",LEFT($G$5,2)="L4",AND(AND(B14&lt;&gt;"(",B14&lt;&gt;"2",B14&lt;&gt;"^",B14&lt;&gt;"f"),OR(B14=B13))),"",TUMDD(B14))</f>
        <v/>
      </c>
      <c r="D14" s="80"/>
      <c r="E14" s="1"/>
      <c r="G14" s="2" t="s">
        <v>1</v>
      </c>
      <c r="H14" s="19"/>
      <c r="I14" s="21" t="str" cm="1">
        <f t="array" ref="I14">IF(OR(H14="",AND(AND(H14&lt;&gt;"(",H14&lt;&gt;"2",H14&lt;&gt;"^",H14&lt;&gt;"f"),AND(AND(LEFT($G$5,2)&lt;&gt;"L1",LEFT($G$5,2)&lt;&gt;"L2",LEFT($G$5,2)&lt;&gt;"L3",LEFT($G$5,2)&lt;&gt;"L4"),OR(H14=H13,H14=B$20,H14=B$19,H14=B$18,H14=B$17,H14=B$16,H14=B$15,H14=B$14,H14=B$13)))),"",TUMDD(H14))</f>
        <v/>
      </c>
      <c r="J14" s="80"/>
      <c r="K14" s="1"/>
      <c r="M14" s="2" t="s">
        <v>1</v>
      </c>
      <c r="N14" s="19"/>
      <c r="O14" s="21" t="str" cm="1">
        <f t="array" ref="O14">IF(OR(N14="",AND(AND(N14&lt;&gt;"(",N14&lt;&gt;"2",N14&lt;&gt;"^",N14&lt;&gt;"f"),OR(N14=N13))),"",TUMDD(N14))</f>
        <v/>
      </c>
      <c r="P14" s="80"/>
      <c r="Q14" s="1"/>
      <c r="Z14" s="31"/>
      <c r="AA14" s="31"/>
      <c r="AB14" s="31"/>
      <c r="AC14" s="31"/>
      <c r="AD14" s="31"/>
      <c r="AE14" s="31"/>
    </row>
    <row r="15" spans="1:31" ht="20.25" customHeight="1" x14ac:dyDescent="0.2">
      <c r="A15" s="2" t="s">
        <v>2</v>
      </c>
      <c r="B15" s="19"/>
      <c r="C15" s="21" t="str" cm="1">
        <f t="array" ref="C15">IF(OR(B15="",LEFT($G$5,2)="L1",LEFT($G$5,2)="L2",LEFT($G$5,2)="L3",LEFT($G$5,2)="L4",AND(AND(B15&lt;&gt;"(",B15&lt;&gt;"2",B15&lt;&gt;"^",B15&lt;&gt;"f"),OR(B15=B14,B15=B13))),"",TUMDD(B15))</f>
        <v/>
      </c>
      <c r="D15" s="80"/>
      <c r="E15" s="1"/>
      <c r="G15" s="2" t="s">
        <v>2</v>
      </c>
      <c r="H15" s="19"/>
      <c r="I15" s="21" t="str" cm="1">
        <f t="array" ref="I15">IF(OR(H15="",AND(AND(H15&lt;&gt;"(",H15&lt;&gt;"2",H15&lt;&gt;"^",H15&lt;&gt;"f"),AND(AND(LEFT($G$5,2)&lt;&gt;"L1",LEFT($G$5,2)&lt;&gt;"L2",LEFT($G$5,2)&lt;&gt;"L3",LEFT($G$5,2)&lt;&gt;"L4"),OR(H15=H13,H15=H14,H15=B$20,H15=B$19,H15=B$18,H15=B$17,H15=B$16,H15=B$15,H15=B$14,H15=B$13)))),"",TUMDD(H15))</f>
        <v/>
      </c>
      <c r="J15" s="80"/>
      <c r="K15" s="1"/>
      <c r="M15" s="2" t="s">
        <v>2</v>
      </c>
      <c r="N15" s="19"/>
      <c r="O15" s="21" t="str" cm="1">
        <f t="array" ref="O15">IF(OR(N15="",AND(AND(N15&lt;&gt;"(",N15&lt;&gt;"2",N15&lt;&gt;"^",N15&lt;&gt;"f"),OR(N15=N13,N15=N14,))),"",TUMDD(N15))</f>
        <v/>
      </c>
      <c r="P15" s="80"/>
      <c r="Q15" s="1"/>
      <c r="Z15" s="31"/>
      <c r="AA15" s="31"/>
      <c r="AB15" s="31"/>
      <c r="AC15" s="31"/>
      <c r="AD15" s="31"/>
      <c r="AE15" s="31"/>
    </row>
    <row r="16" spans="1:31" ht="20.25" customHeight="1" x14ac:dyDescent="0.2">
      <c r="A16" s="2" t="s">
        <v>3</v>
      </c>
      <c r="B16" s="19"/>
      <c r="C16" s="21" t="str" cm="1">
        <f t="array" ref="C16">IF(OR(B16="",LEFT($G$5,2)="L1",LEFT($G$5,2)="L2",LEFT($G$5,2)="L3",LEFT($G$5,2)="L4",AND(AND(B16&lt;&gt;"(",B16&lt;&gt;"2",B16&lt;&gt;"^",B16&lt;&gt;"f"),OR(B16=B15,B16=B14,B16=B13))),"",TUMDD(B16))</f>
        <v/>
      </c>
      <c r="D16" s="80"/>
      <c r="E16" s="1"/>
      <c r="G16" s="2" t="s">
        <v>3</v>
      </c>
      <c r="H16" s="19"/>
      <c r="I16" s="21" t="str" cm="1">
        <f t="array" ref="I16">IF(OR(H16="",AND(AND(H16&lt;&gt;"(",H16&lt;&gt;"2",H16&lt;&gt;"^",H16&lt;&gt;"f"),AND(AND(LEFT($G$5,2)&lt;&gt;"L1",LEFT($G$5,2)&lt;&gt;"L2",LEFT($G$5,2)&lt;&gt;"L3",LEFT($G$5,2)&lt;&gt;"L4"),OR(H16=H13,H16=H14,H16=H15,H16=B$20,H16=B$19,H16=B$18,H16=B$17,H16=B$16,H16=B$15,H16=B$14,H16=B$13)))),"",TUMDD(H16))</f>
        <v/>
      </c>
      <c r="J16" s="80"/>
      <c r="K16" s="1"/>
      <c r="M16" s="2" t="s">
        <v>3</v>
      </c>
      <c r="N16" s="19"/>
      <c r="O16" s="21" t="str" cm="1">
        <f t="array" ref="O16">IF(OR(N16="",AND(AND(N16&lt;&gt;"(",N16&lt;&gt;"2",N16&lt;&gt;"^",N16&lt;&gt;"f"),OR(N16=N13,N16=N14,N16=N15))),"",TUMDD(N16))</f>
        <v/>
      </c>
      <c r="P16" s="80"/>
      <c r="Q16" s="1"/>
      <c r="Z16" s="31"/>
      <c r="AA16" s="31"/>
      <c r="AB16" s="31"/>
      <c r="AC16" s="31"/>
      <c r="AD16" s="31"/>
      <c r="AE16" s="31"/>
    </row>
    <row r="17" spans="1:31" ht="20.25" customHeight="1" x14ac:dyDescent="0.2">
      <c r="A17" s="2" t="s">
        <v>4</v>
      </c>
      <c r="B17" s="19"/>
      <c r="C17" s="21" t="str" cm="1">
        <f t="array" ref="C17">IF(OR(B17="",LEFT($G$5,2)="L1",LEFT($G$5,2)="L2",LEFT($G$5,2)="L3",LEFT($G$5,2)="L4",AND(AND(B17&lt;&gt;"(",B17&lt;&gt;"2",B17&lt;&gt;"^",B17&lt;&gt;"f"),OR(B17=B16,B17=B15,B17=B14,B17=B13))),"",TUMDD(B17))</f>
        <v/>
      </c>
      <c r="D17" s="80"/>
      <c r="E17" s="1"/>
      <c r="G17" s="2" t="s">
        <v>4</v>
      </c>
      <c r="H17" s="19"/>
      <c r="I17" s="21" t="str" cm="1">
        <f t="array" ref="I17">IF(OR(H17="",AND(AND(H17&lt;&gt;"(",H17&lt;&gt;"2",H17&lt;&gt;"^",H17&lt;&gt;"f"),AND(AND(LEFT($G$5,2)&lt;&gt;"L1",LEFT($G$5,2)&lt;&gt;"L2",LEFT($G$5,2)&lt;&gt;"L3",LEFT($G$5,2)&lt;&gt;"L4"),OR(H17=H13,H17=H14,H17=H15,H17=H16,H17=B$20,H17=B$19,H17=B$18,H17=B$17,H17=B$16,H17=B$15,H17=B$14,H17=B$13)))),"",TUMDD(H17))</f>
        <v/>
      </c>
      <c r="J17" s="80"/>
      <c r="K17" s="1"/>
      <c r="M17" s="2" t="s">
        <v>4</v>
      </c>
      <c r="N17" s="19"/>
      <c r="O17" s="21" t="str" cm="1">
        <f t="array" ref="O17">IF(OR(N17="",AND(AND(N17&lt;&gt;"(",N17&lt;&gt;"2",N17&lt;&gt;"^",N17&lt;&gt;"f"),OR(N17=N13,N17=N14,N17=N15,N17=N16))),"",TUMDD(N17))</f>
        <v/>
      </c>
      <c r="P17" s="80"/>
      <c r="Q17" s="1"/>
      <c r="Z17" s="31"/>
      <c r="AA17" s="31"/>
      <c r="AB17" s="31"/>
      <c r="AC17" s="31"/>
      <c r="AD17" s="31"/>
      <c r="AE17" s="31"/>
    </row>
    <row r="18" spans="1:31" ht="20.25" customHeight="1" x14ac:dyDescent="0.2">
      <c r="A18" s="2" t="s">
        <v>5</v>
      </c>
      <c r="B18" s="19" t="s">
        <v>25</v>
      </c>
      <c r="C18" s="21" t="str" cm="1">
        <f t="array" ref="C18">IF(OR(B18="",LEFT($G$5,2)="L1",LEFT($G$5,2)="L2",LEFT($G$5,2)="L3",LEFT($G$5,2)="L4",AND(AND(B18&lt;&gt;"(",B18&lt;&gt;"2",B18&lt;&gt;"^",B18&lt;&gt;"f"),OR(B18=B17,B18=B16,B18=B15,B18=B14,B18=B13))),"",TUMDD(B18))</f>
        <v/>
      </c>
      <c r="D18" s="80"/>
      <c r="E18" s="1"/>
      <c r="G18" s="2" t="s">
        <v>5</v>
      </c>
      <c r="H18" s="19"/>
      <c r="I18" s="21" t="str" cm="1">
        <f t="array" ref="I18">IF(OR(H18="",AND(AND(H18&lt;&gt;"(",H18&lt;&gt;"2",H18&lt;&gt;"^",H18&lt;&gt;"f"),AND(AND(LEFT($G$5,2)&lt;&gt;"L1",LEFT($G$5,2)&lt;&gt;"L2",LEFT($G$5,2)&lt;&gt;"L3",LEFT($G$5,2)&lt;&gt;"L4"),OR(H18=H13,H18=H14,H18=H15,H18=H16,H18=H17,H18=B$20,H18=B$19,H18=B$18,H18=B$17,H18=B$16,H18=B$15,H18=B$14,H18=B$13)))),"",TUMDD(H18))</f>
        <v/>
      </c>
      <c r="J18" s="80"/>
      <c r="K18" s="1"/>
      <c r="M18" s="2" t="s">
        <v>5</v>
      </c>
      <c r="N18" s="19"/>
      <c r="O18" s="21" t="str" cm="1">
        <f t="array" ref="O18">IF(OR(N18="",AND(AND(N18&lt;&gt;"(",N18&lt;&gt;"2",N18&lt;&gt;"^",N18&lt;&gt;"f"),OR(N18=N13,N18=N14,N18=N15,N18=N16,N18=N17))),"",TUMDD(N18))</f>
        <v/>
      </c>
      <c r="P18" s="80"/>
      <c r="Q18" s="1"/>
      <c r="Z18" s="31"/>
      <c r="AA18" s="31"/>
      <c r="AB18" s="31"/>
      <c r="AC18" s="31"/>
      <c r="AD18" s="31"/>
      <c r="AE18" s="31"/>
    </row>
    <row r="19" spans="1:31" ht="20.25" customHeight="1" x14ac:dyDescent="0.2">
      <c r="A19" s="2" t="s">
        <v>6</v>
      </c>
      <c r="B19" s="19" t="s">
        <v>25</v>
      </c>
      <c r="C19" s="21" t="str" cm="1">
        <f t="array" ref="C19">IF(OR(B19="",LEFT($G$5,2)="L1",LEFT($G$5,2)="L2",LEFT($G$5,2)="L3",LEFT($G$5,2)="L4",AND(AND(B19&lt;&gt;"(",B19&lt;&gt;"2",B19&lt;&gt;"^",B19&lt;&gt;"f"),OR(B19=B18,B19=B17,B19=B16,B19=B15,B19=B14,B19=B13))),"",TUMDD(B19))</f>
        <v/>
      </c>
      <c r="D19" s="80"/>
      <c r="E19" s="1"/>
      <c r="G19" s="2" t="s">
        <v>6</v>
      </c>
      <c r="H19" s="19"/>
      <c r="I19" s="21" t="str" cm="1">
        <f t="array" ref="I19">IF(OR(H19="",AND(AND(H19&lt;&gt;"(",H19&lt;&gt;"2",H19&lt;&gt;"^",H19&lt;&gt;"f"),AND(AND(LEFT($G$5,2)&lt;&gt;"L1",LEFT($G$5,2)&lt;&gt;"L2",LEFT($G$5,2)&lt;&gt;"L3",LEFT($G$5,2)&lt;&gt;"L4"),OR(H19=H13,H19=H14,H19=H15,H19=H16,H19=H17,H19=H18,H19=B$20,H19=B$19,H19=B$18,H19=B$17,H19=B$16,H19=B$15,H19=B$14,H19=B$13)))),"",TUMDD(H19))</f>
        <v/>
      </c>
      <c r="J19" s="80"/>
      <c r="K19" s="1"/>
      <c r="M19" s="2" t="s">
        <v>6</v>
      </c>
      <c r="N19" s="19"/>
      <c r="O19" s="21" t="str" cm="1">
        <f t="array" ref="O19">IF(OR(N19="",AND(AND(N19&lt;&gt;"(",N19&lt;&gt;"2",N19&lt;&gt;"^",N19&lt;&gt;"f"),OR(N19=N13,N19=N14,N19=N15,N19=N16,N19=N17,N19=N18))),"",TUMDD(N19))</f>
        <v/>
      </c>
      <c r="P19" s="80"/>
      <c r="Q19" s="1"/>
      <c r="Z19" s="31"/>
      <c r="AA19" s="31"/>
      <c r="AB19" s="31"/>
      <c r="AC19" s="31"/>
      <c r="AD19" s="31"/>
      <c r="AE19" s="31"/>
    </row>
    <row r="20" spans="1:31" ht="20.25" customHeight="1" x14ac:dyDescent="0.2">
      <c r="A20" s="2" t="s">
        <v>7</v>
      </c>
      <c r="B20" s="19" t="s">
        <v>25</v>
      </c>
      <c r="C20" s="21" t="str" cm="1">
        <f t="array" ref="C20">IF(OR(B20="",LEFT($G$5,2)="L1",LEFT($G$5,2)="L2",LEFT($G$5,2)="L3",LEFT($G$5,2)="L4",AND(AND(B20&lt;&gt;"(",B20&lt;&gt;"2",B20&lt;&gt;"^",B20&lt;&gt;"f"),OR(B20=B19,B20=B18,B20=B17,B20=B16,B20=B15,B20=B14,B20=B13))),"",TUMDD(B20))</f>
        <v/>
      </c>
      <c r="D20" s="80"/>
      <c r="E20" s="1"/>
      <c r="G20" s="2" t="s">
        <v>7</v>
      </c>
      <c r="H20" s="19"/>
      <c r="I20" s="21" t="str" cm="1">
        <f t="array" ref="I20">IF(OR(H20="",AND(AND(H20&lt;&gt;"(",H20&lt;&gt;"2",H20&lt;&gt;"^",H20&lt;&gt;"f"),AND(AND(LEFT($G$5,2)&lt;&gt;"L1",LEFT($G$5,2)&lt;&gt;"L2",LEFT($G$5,2)&lt;&gt;"L3",LEFT($G$5,2)&lt;&gt;"L4"),OR(H20=H13,H20=H14,H20=H15,H20=H16,H20=H17,H20=H18,H20=H19,H20=B$20,H20=B$19,H20=B$18,H20=B$17,H20=B$16,H20=B$15,H20=B$14,H20=B$13)))),"",TUMDD(H20))</f>
        <v/>
      </c>
      <c r="J20" s="80"/>
      <c r="K20" s="1"/>
      <c r="M20" s="2" t="s">
        <v>7</v>
      </c>
      <c r="N20" s="19"/>
      <c r="O20" s="21" t="str" cm="1">
        <f t="array" ref="O20">IF(OR(N20="",AND(AND(N20&lt;&gt;"(",N20&lt;&gt;"2",N20&lt;&gt;"^",N20&lt;&gt;"f"),OR(N20=N13,N20=N14,N20=N15,N20=N16,N20=N17,N20=N18,N20=N19))),"",TUMDD(N20))</f>
        <v/>
      </c>
      <c r="P20" s="80"/>
      <c r="Q20" s="1"/>
      <c r="Z20" s="31"/>
      <c r="AA20" s="31"/>
      <c r="AB20" s="31"/>
      <c r="AC20" s="31"/>
      <c r="AD20" s="31"/>
      <c r="AE20" s="31"/>
    </row>
    <row r="21" spans="1:31" s="3" customFormat="1" ht="20.25" customHeight="1" x14ac:dyDescent="0.2">
      <c r="A21" s="86" t="str">
        <f>IF(AND($B$5="Women/Femmes",COUNTIF(C13:C20,"&gt;=2")&gt;1),"Total DD*","Total DD")</f>
        <v>Total DD</v>
      </c>
      <c r="B21" s="87"/>
      <c r="C21" s="20" t="str">
        <f>IF(SUM(C13:C20)=0,"",SUM(C13:C20)+IF(AND($B$5="Women/Femmes",COUNTIF(C13:C20,"&gt;=2")&gt;1),COUNTIF(C13:C20,"&gt;=2")-1,0))</f>
        <v/>
      </c>
      <c r="D21" s="10" t="s">
        <v>9</v>
      </c>
      <c r="E21" s="9"/>
      <c r="G21" s="75" t="str">
        <f>IF(AND($B$5="Women/Femmes",COUNTIF(I13:I20,"&gt;=2")&gt;1),"Total DD*","Total DD")</f>
        <v>Total DD</v>
      </c>
      <c r="H21" s="76"/>
      <c r="I21" s="20" t="str">
        <f>IF(SUM(I13:I20)=0,"",SUM(I13:I20)+IF(AND($B$5="Women/Femmes",COUNTIF(I13:I20,"&gt;=2")&gt;1),COUNTIF(I13:I20,"&gt;=2")-1,0))</f>
        <v/>
      </c>
      <c r="J21" s="10" t="s">
        <v>9</v>
      </c>
      <c r="K21" s="11"/>
      <c r="M21" s="75" t="str">
        <f>IF(AND($B$5="Women/Femmes",COUNTIF(O13:O20,"&gt;=2")&gt;1),"Total DD*","Total DD")</f>
        <v>Total DD</v>
      </c>
      <c r="N21" s="76"/>
      <c r="O21" s="20" t="str">
        <f>IF(SUM(O13:O20)=0,"",SUM(O13:O20)+IF(AND($B$5="Women/Femmes",COUNTIF(O13:O20,"&gt;=2")&gt;1),COUNTIF(O13:O20,"&gt;=2")-1,0))</f>
        <v/>
      </c>
      <c r="P21" s="10" t="s">
        <v>9</v>
      </c>
      <c r="Q21" s="11"/>
      <c r="Y21"/>
      <c r="Z21" s="31"/>
      <c r="AA21" s="31"/>
      <c r="AB21" s="31"/>
      <c r="AC21" s="32"/>
      <c r="AD21" s="32"/>
      <c r="AE21" s="32"/>
    </row>
    <row r="22" spans="1:31" s="3" customFormat="1" ht="20.25" customHeight="1" thickBot="1" x14ac:dyDescent="0.25">
      <c r="A22" s="88" t="s">
        <v>15</v>
      </c>
      <c r="B22" s="89"/>
      <c r="C22" s="36" t="str" cm="1">
        <f t="array" ref="C22">IF(C21="","",IF(LEFT($G$5,2)="L5",SUMPRODUCT(--(LEN(B13:B20)=3),--(C13:C20&lt;&gt;"")),IF(OR(LEFT($G$5,2)="L6",LEFT($G$5,2)="Ju",LEFT($G$5,2)="L7",AND($B$5="Women/Femmes",LEFT($G$5,2)="Se")),IF((SUMPRODUCT(--(B13:B19="1/"),--(C13:C19&lt;&gt;""))+SUMPRODUCT(--(B13:B19=".1/"),--(C13:C19&lt;&gt;""))+SUMPRODUCT(--(B13:B19="1"),--(C13:C19&lt;&gt;""))+SUMPRODUCT(--(B13:B19=".1"),--(C13:C19&lt;&gt;""))+SUMPRODUCT(--(B13:B19="2"),--(C13:C19&lt;&gt;""))+SUMPRODUCT(--(B13:B19="2."),--(C13:C19&lt;&gt;""))+SUMPRODUCT(--(LEN(B13:B19)=3),--(C13:C19&lt;&gt;"")))*0.3&gt;0.6,0.6,(SUMPRODUCT(--(B13:B19="1/"),--(C13:C19&lt;&gt;""))+SUMPRODUCT(--(B13:B19=".1/"),--(C13:C19&lt;&gt;""))+SUMPRODUCT(--(B13:B19="1"),--(C13:C19&lt;&gt;""))+SUMPRODUCT(--(B13:B19=".1"),--(C13:C19&lt;&gt;""))+SUMPRODUCT(--(B13:B19="2"),--(C13:C19&lt;&gt;""))+SUMPRODUCT(--(B13:B19="2."),--(C13:C19&lt;&gt;""))+SUMPRODUCT(--(LEN(B13:B19)=3),--(C13:C19&lt;&gt;"")))*0.3),0)))</f>
        <v/>
      </c>
      <c r="D22" s="37" t="s">
        <v>16</v>
      </c>
      <c r="E22" s="38"/>
      <c r="G22" s="81" t="s">
        <v>15</v>
      </c>
      <c r="H22" s="82"/>
      <c r="I22" s="36" t="str" cm="1">
        <f t="array" ref="I22">IF(I21="","",IF(LEFT($G$5,2)="L1",IF(OR(COUNTIF(H14:H17,"-o")+COUNTIF(H14:H17,"-&lt;")+COUNTIF(H14:H17,"-/")+COUNTIF(H14:H17,"2")),0.5,0),IF(OR(LEFT($G$5,2)="L2",LEFT($G$5,2)="L3",LEFT($G$5,2)="L4"),IF(I21&gt;=K10,0.3,0),IF(OR(LEFT($G$5,2)="L5"),SUMPRODUCT(--(LEN(H13:H20)=3),--(I13:I20&lt;&gt;"")),IF(OR(LEFT($G$5,2)="L6",LEFT($G$5,2)="Ju",LEFT($G$5,2)="L7",AND($B$5="Women/Femmes",LEFT($G$5,2)="Se")),IF((SUMPRODUCT(--(H13:H19="1/"),--(I13:I19&lt;&gt;""))+SUMPRODUCT(--(H13:H19=".1/"),--(I13:I19&lt;&gt;""))+SUMPRODUCT(--(H13:H19="1"),--(I13:I19&lt;&gt;""))+SUMPRODUCT(--(H13:H19=".1"),--(I13:I19&lt;&gt;""))+SUMPRODUCT(--(H13:H19="2"),--(I13:I19&lt;&gt;""))+SUMPRODUCT(--(H13:H19="2."),--(I13:I19&lt;&gt;""))+SUMPRODUCT(--(LEN(H13:H19)=3),--(I13:I19&lt;&gt;"")))*0.3&gt;0.6,0.6,(SUMPRODUCT(--(H13:H19="1/"),--(I13:I19&lt;&gt;""))+SUMPRODUCT(--(H13:H19=".1/"),--(I13:I19&lt;&gt;""))+SUMPRODUCT(--(H13:H19="1"),--(I13:I19&lt;&gt;""))+SUMPRODUCT(--(H13:H19=".1"),--(I13:I19&lt;&gt;""))+SUMPRODUCT(--(H13:H19="2"),--(I13:I19&lt;&gt;""))+SUMPRODUCT(--(H13:H19="2."),--(I13:I19&lt;&gt;""))+SUMPRODUCT(--(LEN(H13:H19)=3),--(I13:I19&lt;&gt;"")))*0.3),0)))))</f>
        <v/>
      </c>
      <c r="J22" s="37" t="s">
        <v>16</v>
      </c>
      <c r="K22" s="39"/>
      <c r="M22" s="81" t="s">
        <v>15</v>
      </c>
      <c r="N22" s="82"/>
      <c r="O22" s="36" t="str" cm="1">
        <f t="array" ref="O22">IF(O21="","",IF(LEFT($G$5,2)="L1",IF(OR(COUNTIF(N14:N17,"-o")+COUNTIF(N14:N17,"-&lt;")+COUNTIF(N14:N17,"-/")+COUNTIF(N14:N17,"2")),0.5,0),IF(OR(LEFT($G$5,2)="L2",LEFT($G$5,2)="L3",LEFT($G$5,2)="L4"),IF(O21&gt;=Q10,0.3,0),IF(OR(LEFT($G$5,2)="L5"),SUMPRODUCT(--(LEN(N13:N20)=3),--(O13:O20&lt;&gt;"")),IF(OR(LEFT($G$5,2)="L6",LEFT($G$5,2)="Ju",LEFT($G$5,2)="L7",AND($B$5="Women/Femmes",LEFT($G$5,2)="Se")),IF((SUMPRODUCT(--(N13:N19="1/"),--(O13:O19&lt;&gt;""))+SUMPRODUCT(--(N13:N19=".1/"),--(O13:O19&lt;&gt;""))+SUMPRODUCT(--(N13:N19="1"),--(O13:O19&lt;&gt;""))+SUMPRODUCT(--(N13:N19=".1"),--(O13:O19&lt;&gt;""))+SUMPRODUCT(--(N13:N19="2"),--(O13:O19&lt;&gt;""))+SUMPRODUCT(--(N13:N19="2."),--(O13:O19&lt;&gt;""))+SUMPRODUCT(--(LEN(N13:N19)=3),--(O13:O19&lt;&gt;"")))*0.3&gt;0.6,0.6,(SUMPRODUCT(--(N13:N19="1/"),--(O13:O19&lt;&gt;""))+SUMPRODUCT(--(N13:N19=".1/"),--(O13:O19&lt;&gt;""))+SUMPRODUCT(--(N13:N19="1"),--(O13:O19&lt;&gt;""))+SUMPRODUCT(--(N13:N19=".1"),--(O13:O19&lt;&gt;""))+SUMPRODUCT(--(N13:N19="2"),--(O13:O19&lt;&gt;""))+SUMPRODUCT(--(N13:N19="2."),--(O13:O19&lt;&gt;""))+SUMPRODUCT(--(LEN(N13:N19)=3),--(O13:O19&lt;&gt;"")))*0.3),0)))))</f>
        <v/>
      </c>
      <c r="P22" s="37" t="s">
        <v>16</v>
      </c>
      <c r="Q22" s="39"/>
      <c r="Y22"/>
      <c r="Z22" s="31"/>
      <c r="AA22" s="31"/>
      <c r="AB22" s="31"/>
      <c r="AC22" s="32"/>
      <c r="AD22" s="32"/>
      <c r="AE22" s="32"/>
    </row>
    <row r="23" spans="1:31" s="3" customFormat="1" ht="20.25" customHeight="1" thickBot="1" x14ac:dyDescent="0.25">
      <c r="A23" s="83" t="s">
        <v>13</v>
      </c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5"/>
      <c r="T23" s="31"/>
      <c r="U23" s="31"/>
      <c r="V23" s="31"/>
      <c r="W23" s="32"/>
      <c r="X23" s="32"/>
      <c r="Y23" s="32"/>
    </row>
    <row r="24" spans="1:31" x14ac:dyDescent="0.2">
      <c r="A24" s="55" t="s">
        <v>21</v>
      </c>
      <c r="B24" s="56"/>
      <c r="C24" s="56"/>
      <c r="D24" s="56"/>
      <c r="E24" s="57"/>
      <c r="G24" s="55" t="s">
        <v>21</v>
      </c>
      <c r="H24" s="56"/>
      <c r="I24" s="56"/>
      <c r="J24" s="56"/>
      <c r="K24" s="57"/>
      <c r="M24" s="55" t="s">
        <v>21</v>
      </c>
      <c r="N24" s="56"/>
      <c r="O24" s="56"/>
      <c r="P24" s="56"/>
      <c r="Q24" s="57"/>
      <c r="Z24" s="31"/>
      <c r="AA24" s="31"/>
      <c r="AB24" s="31"/>
      <c r="AC24" s="31"/>
      <c r="AD24" s="31"/>
      <c r="AE24" s="31"/>
    </row>
    <row r="25" spans="1:31" x14ac:dyDescent="0.2">
      <c r="A25" s="23" t="str">
        <f>IF(B25&lt;&gt;"","r","")</f>
        <v/>
      </c>
      <c r="B25" s="58" t="str">
        <f>IF(LEFT($G$5,2)="L1","End with a straight jump",IF(OR(LEFT($G$5,2)="L5",LEFT($G$5,2)="L6",LEFT($G$5,2)="L7",LEFT($G$5,2)="Ju"),"Element with at least 360˚ twist (one prelim pass)",IF(LEFT($G$5,2)="Se","Minimum 1 Double","")))</f>
        <v/>
      </c>
      <c r="C25" s="58"/>
      <c r="D25" s="58"/>
      <c r="E25" s="59"/>
      <c r="G25" s="23" t="str">
        <f>IF(H25&lt;&gt;"","r","")</f>
        <v/>
      </c>
      <c r="H25" s="58" t="str">
        <f>IF(LEFT($G$5,2)="L1","Maximum 1 salto",IF(LEFT($G$5,2)="L2","Minimum 1 salto",IF(LEFT($G$5,2)="L3","Minimum 3 saltos",IF(LEFT($G$5,2)="L4","Minimum 4 saltos",IF(OR(LEFT($G$5,2)="L5",LEFT($G$5,2)="L6",LEFT($G$5,2)="L7",LEFT($G$5,2)="Ju"),"Element with at least 360˚ twist (one prelim pass)",IF(LEFT($G$5,2)="Se","Minimum 1 Double",""))))))</f>
        <v/>
      </c>
      <c r="I25" s="58"/>
      <c r="J25" s="58"/>
      <c r="K25" s="59"/>
      <c r="M25" s="23" t="str">
        <f>IF(N25&lt;&gt;"","r","")</f>
        <v/>
      </c>
      <c r="N25" s="58"/>
      <c r="O25" s="58"/>
      <c r="P25" s="58"/>
      <c r="Q25" s="59"/>
      <c r="Z25" s="31"/>
      <c r="AA25" s="31"/>
      <c r="AB25" s="31"/>
      <c r="AC25" s="31"/>
      <c r="AD25" s="31"/>
      <c r="AE25" s="31"/>
    </row>
    <row r="26" spans="1:31" x14ac:dyDescent="0.2">
      <c r="A26" s="23" t="str">
        <f>IF(B26&lt;&gt;"","r","")</f>
        <v/>
      </c>
      <c r="B26" s="58" t="str">
        <f>IF(LEFT($G$5,2)="L5","Element 1.1 or higher (one prelim pass, can combine)",IF(AND(LEFT($G$5,2)="L7",$B$5="Women/Femmes"),"Minimum 1 double (one prelim pass)",IF(AND(LEFT($G$5,2)="L7",$B$5="Men/Hommes"),"Minimum 1 double",IF(LEFT($G$5,2)="Ju","Element 2.0 or higher",IF(AND(LEFT($G$5,2)="Se",$B$5="Women/Femmes"),"Element 2.4 or higher (one prelim pass)",IF(AND(LEFT($G$5,2)="Se",$B$5="Men/Hommes"),"Element 2.4 or higher",""))))))</f>
        <v/>
      </c>
      <c r="C26" s="58"/>
      <c r="D26" s="58"/>
      <c r="E26" s="59"/>
      <c r="G26" s="23" t="str">
        <f>IF(H26&lt;&gt;"","r","")</f>
        <v/>
      </c>
      <c r="H26" s="58" t="str">
        <f>IF(LEFT($G$5,2)="L1","No element with twist",IF(LEFT($G$5,2)="L2","Maximum 2 saltos",IF(LEFT($G$5,2)="L3","Maximum 5 saltos",IF(LEFT($G$5,2)="L4","Maximum 2.0 per element",IF(LEFT($G$5,2)="L5","Element 1.1 or higher (one prelim pass, can combine)",IF(AND(LEFT($G$5,2)="L7",$B$5="Women/Femmes"),"Minimum 1 double (one prelim pass)",IF(AND(LEFT($G$5,2)="L7",$B$5="Men/Hommes"),"Minimum 1 double",IF(AND(LEFT($G$5,2)="Se",$B$5="Women/Femmes"),"Element 2.4 or higher (one prelim pass)",IF(AND(LEFT($G$5,2)="Se",$B$5="Men/Hommes"),"Element 2.4 or higher","")))))))))</f>
        <v/>
      </c>
      <c r="I26" s="58"/>
      <c r="J26" s="58"/>
      <c r="K26" s="59"/>
      <c r="M26" s="23" t="str">
        <f>IF(N26&lt;&gt;"","r","")</f>
        <v/>
      </c>
      <c r="N26" s="58"/>
      <c r="O26" s="58"/>
      <c r="P26" s="58"/>
      <c r="Q26" s="59"/>
      <c r="Z26" s="31"/>
      <c r="AA26" s="31"/>
      <c r="AB26" s="31"/>
      <c r="AC26" s="31"/>
      <c r="AD26" s="31"/>
      <c r="AE26" s="31"/>
    </row>
    <row r="27" spans="1:31" ht="16" thickBot="1" x14ac:dyDescent="0.25">
      <c r="A27" s="24" t="str">
        <f>IF(B27&lt;&gt;"","r","")</f>
        <v/>
      </c>
      <c r="B27" s="77" t="str">
        <f>IF(LEFT($G$5,2)="L5","Element 0.9 or higher (can combine)","")</f>
        <v/>
      </c>
      <c r="C27" s="77"/>
      <c r="D27" s="77"/>
      <c r="E27" s="78"/>
      <c r="G27" s="24" t="str">
        <f>IF(H27&lt;&gt;"","r","")</f>
        <v/>
      </c>
      <c r="H27" s="77" t="str">
        <f>IF(LEFT($G$5,2)="L1","End with straight jump or salto",IF(OR(LEFT($G$5,2)="L2",LEFT($G$5,2)="L3"),"Maximum 0.9 per element",""))</f>
        <v/>
      </c>
      <c r="I27" s="77"/>
      <c r="J27" s="77"/>
      <c r="K27" s="78"/>
      <c r="M27" s="24" t="str">
        <f>IF(N27&lt;&gt;"","r","")</f>
        <v/>
      </c>
      <c r="N27" s="77"/>
      <c r="O27" s="77"/>
      <c r="P27" s="77"/>
      <c r="Q27" s="78"/>
      <c r="Z27" s="31"/>
      <c r="AA27" s="31"/>
      <c r="AB27" s="31"/>
      <c r="AC27" s="31"/>
      <c r="AD27" s="31"/>
      <c r="AE27" s="31"/>
    </row>
    <row r="28" spans="1:31" ht="16" thickBot="1" x14ac:dyDescent="0.25">
      <c r="Z28" s="31"/>
      <c r="AA28" s="31"/>
      <c r="AB28" s="31"/>
      <c r="AC28" s="31"/>
      <c r="AD28" s="31"/>
      <c r="AE28" s="31"/>
    </row>
    <row r="29" spans="1:31" s="3" customFormat="1" ht="15" customHeight="1" x14ac:dyDescent="0.25">
      <c r="A29" s="67" t="s">
        <v>32</v>
      </c>
      <c r="B29" s="68"/>
      <c r="C29" s="68"/>
      <c r="D29" s="68"/>
      <c r="E29" s="69"/>
      <c r="G29" s="67" t="s">
        <v>33</v>
      </c>
      <c r="H29" s="68"/>
      <c r="I29" s="68"/>
      <c r="J29" s="68"/>
      <c r="K29" s="69"/>
      <c r="L29" s="4"/>
      <c r="M29" s="46"/>
      <c r="N29" s="46"/>
      <c r="O29" s="46"/>
      <c r="P29" s="46"/>
      <c r="Q29" s="46"/>
      <c r="Z29" s="31"/>
      <c r="AA29" s="31"/>
      <c r="AB29" s="31"/>
      <c r="AC29" s="32"/>
      <c r="AD29" s="32"/>
      <c r="AE29" s="32"/>
    </row>
    <row r="30" spans="1:31" ht="19" x14ac:dyDescent="0.25">
      <c r="A30" s="70"/>
      <c r="B30" s="71"/>
      <c r="C30" s="71"/>
      <c r="D30" s="71"/>
      <c r="E30" s="72"/>
      <c r="G30" s="70"/>
      <c r="H30" s="71"/>
      <c r="I30" s="71"/>
      <c r="J30" s="71"/>
      <c r="K30" s="72"/>
      <c r="L30" s="5"/>
      <c r="M30" s="46"/>
      <c r="N30" s="46"/>
      <c r="O30" s="46"/>
      <c r="P30" t="str" cm="1">
        <f t="array" ref="P30">IF(OR(AND(AND(LEFT($G$5,2)&lt;&gt;"L1",LEFT($G$5,2)&lt;&gt;"L2",LEFT($G$5,2)&lt;&gt;"L3",LEFT($G$5,2)&lt;&gt;"L4"),SUMPRODUCT(--(B13:B20&lt;&gt;""),--(C13:C20=""))),SUMPRODUCT(--(H13:H20&lt;&gt;""),--(I13:I20="")),SUMPRODUCT(--(N13:N20&lt;&gt;""),--(O13:O20="")),SUMPRODUCT(--(B34:B41&lt;&gt;""),--(C34:C41="")),SUMPRODUCT(--(H34:H41&lt;&gt;""),--(I34:I41=""))),"Repetitions","")</f>
        <v/>
      </c>
      <c r="Z30" s="31"/>
      <c r="AA30" s="31"/>
      <c r="AB30" s="31"/>
      <c r="AC30" s="31"/>
      <c r="AD30" s="31"/>
      <c r="AE30" s="31"/>
    </row>
    <row r="31" spans="1:31" ht="16" customHeight="1" x14ac:dyDescent="0.2">
      <c r="A31" s="25"/>
      <c r="B31" s="26" t="s">
        <v>22</v>
      </c>
      <c r="C31" s="27" t="str" cm="1">
        <f t="array" ref="C31">MINTUMDD(B5,LEFT(G5,2),4)</f>
        <v/>
      </c>
      <c r="D31" s="26" t="s">
        <v>23</v>
      </c>
      <c r="E31" s="28" t="str" cm="1">
        <f t="array" ref="E31">MAXTUMDD(B5,LEFT(G5,2),4)</f>
        <v/>
      </c>
      <c r="F31" s="29"/>
      <c r="G31" s="25"/>
      <c r="H31" s="26" t="s">
        <v>22</v>
      </c>
      <c r="I31" s="27" t="str" cm="1">
        <f t="array" ref="I31">MINTUMDD(B5,LEFT(G5,2),5)</f>
        <v/>
      </c>
      <c r="J31" s="26" t="s">
        <v>23</v>
      </c>
      <c r="K31" s="28" t="str" cm="1">
        <f t="array" ref="K31">MAXTUMDD(B5,LEFT(G5,2),5)</f>
        <v/>
      </c>
      <c r="L31" s="29"/>
      <c r="M31" s="46"/>
      <c r="N31" s="46"/>
      <c r="O31" s="46"/>
      <c r="P31" s="46"/>
      <c r="Q31" s="46"/>
      <c r="Z31" s="34"/>
      <c r="AA31" s="31"/>
      <c r="AB31" s="31"/>
      <c r="AC31" s="31"/>
      <c r="AD31" s="31"/>
      <c r="AE31" s="31"/>
    </row>
    <row r="32" spans="1:31" s="8" customFormat="1" ht="20.25" customHeight="1" x14ac:dyDescent="0.2">
      <c r="A32" s="62" t="s">
        <v>11</v>
      </c>
      <c r="B32" s="63"/>
      <c r="C32" s="63"/>
      <c r="D32" s="73" t="s">
        <v>12</v>
      </c>
      <c r="E32" s="74"/>
      <c r="G32" s="62" t="s">
        <v>11</v>
      </c>
      <c r="H32" s="63"/>
      <c r="I32" s="63"/>
      <c r="J32" s="73" t="s">
        <v>12</v>
      </c>
      <c r="K32" s="74"/>
      <c r="M32" s="46"/>
      <c r="N32" s="46"/>
      <c r="O32" s="46"/>
      <c r="P32" t="str">
        <f>IF(OR(AND(C21&lt;&gt;"",C21&lt;C10),AND(I21&lt;&gt;"",I21&lt;I10),AND(O21&lt;&gt;"",O21&lt;O10),AND(C42&lt;&gt;"",C42&lt;C31),AND(I42&lt;&gt;"",I42&lt;I31)),"Under Min","")</f>
        <v/>
      </c>
      <c r="Q32" s="46"/>
      <c r="Z32" s="31"/>
      <c r="AA32" s="34"/>
      <c r="AB32" s="31"/>
      <c r="AC32" s="33"/>
      <c r="AD32" s="33"/>
      <c r="AE32" s="33"/>
    </row>
    <row r="33" spans="1:31" s="3" customFormat="1" ht="16" customHeight="1" thickBot="1" x14ac:dyDescent="0.25">
      <c r="A33" s="60" t="s">
        <v>10</v>
      </c>
      <c r="B33" s="61"/>
      <c r="C33" s="41" t="s">
        <v>8</v>
      </c>
      <c r="D33" s="45"/>
      <c r="E33" s="52" t="s">
        <v>8</v>
      </c>
      <c r="F33" s="40"/>
      <c r="G33" s="60" t="s">
        <v>10</v>
      </c>
      <c r="H33" s="61"/>
      <c r="I33" s="41" t="s">
        <v>8</v>
      </c>
      <c r="J33" s="45"/>
      <c r="K33" s="52" t="s">
        <v>8</v>
      </c>
      <c r="M33" s="46"/>
      <c r="N33" s="46"/>
      <c r="O33" s="46"/>
      <c r="P33" s="46"/>
      <c r="Q33" s="46"/>
      <c r="Z33" s="31"/>
      <c r="AA33" s="31"/>
      <c r="AB33" s="31"/>
      <c r="AC33" s="32"/>
      <c r="AD33" s="32"/>
      <c r="AE33" s="32"/>
    </row>
    <row r="34" spans="1:31" ht="20.25" customHeight="1" thickTop="1" x14ac:dyDescent="0.2">
      <c r="A34" s="6" t="s">
        <v>0</v>
      </c>
      <c r="B34" s="22"/>
      <c r="C34" s="21" t="str" cm="1">
        <f t="array" ref="C34">IF(B34="","",TUMDD(B34))</f>
        <v/>
      </c>
      <c r="D34" s="79"/>
      <c r="E34" s="7"/>
      <c r="G34" s="6" t="s">
        <v>0</v>
      </c>
      <c r="H34" s="22"/>
      <c r="I34" s="21" t="str" cm="1">
        <f t="array" ref="I34">IF(OR(H34="",AND(AND(H34&lt;&gt;"(",H34&lt;&gt;"2",H34&lt;&gt;"^",H34&lt;&gt;"f"),AND(LEFT($G$5,2)&lt;&gt;"L3",OR(H34=B$41,H34=B$40,H34=B$39,H34=B$38,H34=B$37,H34=B$36,H34=B$35,H34=B$34)))),"",TUMDD(H34))</f>
        <v/>
      </c>
      <c r="J34" s="79"/>
      <c r="K34" s="7"/>
      <c r="M34" s="46"/>
      <c r="N34" s="46"/>
      <c r="O34" s="46"/>
      <c r="P34" t="str">
        <f>IF(OR(AND(C21&lt;&gt;"",C21&gt;E10),AND(I21&lt;&gt;"",I21&gt;K10),AND(O21&lt;&gt;"",O21&gt;Q10),AND(C42&lt;&gt;"",C42&gt;E31),AND(I42&lt;&gt;"",I42&gt;K31)),"Over Max","")</f>
        <v/>
      </c>
      <c r="Q34" s="46"/>
      <c r="Y34" s="35"/>
      <c r="AA34" s="31"/>
      <c r="AB34" s="31"/>
      <c r="AC34" s="31"/>
      <c r="AD34" s="31"/>
      <c r="AE34" s="31"/>
    </row>
    <row r="35" spans="1:31" ht="20.25" customHeight="1" x14ac:dyDescent="0.2">
      <c r="A35" s="2" t="s">
        <v>1</v>
      </c>
      <c r="B35" s="19"/>
      <c r="C35" s="21" t="str" cm="1">
        <f t="array" ref="C35">IF(OR(B35="",AND(AND(B35&lt;&gt;"(",B35&lt;&gt;"2",B35&lt;&gt;"^",B35&lt;&gt;"f"),OR(B35=B34))),"",TUMDD(B35))</f>
        <v/>
      </c>
      <c r="D35" s="80"/>
      <c r="E35" s="1"/>
      <c r="G35" s="2" t="s">
        <v>1</v>
      </c>
      <c r="H35" s="19"/>
      <c r="I35" s="21" t="str" cm="1">
        <f t="array" ref="I35">IF(OR(H35="",AND(AND(H35&lt;&gt;"(",H35&lt;&gt;"2",H35&lt;&gt;"^",H35&lt;&gt;"f"),AND(LEFT($G$5,2)&lt;&gt;"L3",OR(H35=B$41,H35=B$40,H35=B$39,H35=B$38,H35=B$37,H35=B$36,H35=B$35,H35=B$34,H35=H34)))),"",TUMDD(H35))</f>
        <v/>
      </c>
      <c r="J35" s="80"/>
      <c r="K35" s="1"/>
      <c r="M35" s="46"/>
      <c r="N35" s="46"/>
      <c r="O35" s="46"/>
      <c r="P35" s="46"/>
      <c r="Q35" s="46"/>
      <c r="Z35" s="31"/>
      <c r="AA35" s="31"/>
      <c r="AB35" s="31"/>
      <c r="AC35" s="31"/>
      <c r="AD35" s="31"/>
      <c r="AE35" s="31"/>
    </row>
    <row r="36" spans="1:31" ht="20.25" customHeight="1" x14ac:dyDescent="0.2">
      <c r="A36" s="2" t="s">
        <v>2</v>
      </c>
      <c r="B36" s="19"/>
      <c r="C36" s="21" t="str" cm="1">
        <f t="array" ref="C36">IF(OR(B36="",AND(AND(B36&lt;&gt;"(",B36&lt;&gt;"2",B36&lt;&gt;"^",B36&lt;&gt;"f"),OR(B36=B35,B36=B34))),"",TUMDD(B36))</f>
        <v/>
      </c>
      <c r="D36" s="80"/>
      <c r="E36" s="1"/>
      <c r="G36" s="2" t="s">
        <v>2</v>
      </c>
      <c r="H36" s="19"/>
      <c r="I36" s="21" t="str" cm="1">
        <f t="array" ref="I36">IF(OR(H36="",AND(AND(H36&lt;&gt;"(",H36&lt;&gt;"2",H36&lt;&gt;"^",H36&lt;&gt;"f"),AND(LEFT($G$5,2)&lt;&gt;"L3",OR(H36=B$41,H36=B$40,H36=B$39,H36=B$38,H36=B$37,H36=B$36,H36=B$35,H36=B$34,H36=H35,H36=H34)))),"",TUMDD(H36))</f>
        <v/>
      </c>
      <c r="J36" s="80"/>
      <c r="K36" s="1"/>
      <c r="M36" s="46"/>
      <c r="N36" s="46"/>
      <c r="O36" s="46"/>
      <c r="P36" s="46"/>
      <c r="Q36" s="46"/>
      <c r="Z36" s="31"/>
      <c r="AA36" s="31"/>
      <c r="AB36" s="31"/>
      <c r="AC36" s="31"/>
      <c r="AD36" s="31"/>
      <c r="AE36" s="31"/>
    </row>
    <row r="37" spans="1:31" ht="20.25" customHeight="1" x14ac:dyDescent="0.2">
      <c r="A37" s="2" t="s">
        <v>3</v>
      </c>
      <c r="B37" s="19"/>
      <c r="C37" s="21" t="str" cm="1">
        <f t="array" ref="C37">IF(OR(B37="",AND(AND(B37&lt;&gt;"(",B37&lt;&gt;"2",B37&lt;&gt;"^",B37&lt;&gt;"f"),OR(B37=B36,B37=B35,B37=B34))),"",TUMDD(B37))</f>
        <v/>
      </c>
      <c r="D37" s="80"/>
      <c r="E37" s="1"/>
      <c r="G37" s="2" t="s">
        <v>3</v>
      </c>
      <c r="H37" s="19"/>
      <c r="I37" s="21" t="str" cm="1">
        <f t="array" ref="I37">IF(OR(H37="",AND(AND(H37&lt;&gt;"(",H37&lt;&gt;"2",H37&lt;&gt;"^",H37&lt;&gt;"f"),OR(H37=B$41,H37=B$40,H37=B$39,H37=B$38,H37=B$37,H37=B$36,H37=B$35,H37=B$34,H37=H36,H37=H35,H37=H34))),"",TUMDD(H37))</f>
        <v/>
      </c>
      <c r="J37" s="80"/>
      <c r="K37" s="1"/>
      <c r="M37" s="46"/>
      <c r="N37" s="46"/>
      <c r="O37" s="46"/>
      <c r="P37" s="46"/>
      <c r="Q37" s="46"/>
      <c r="Z37" s="31"/>
      <c r="AA37" s="31"/>
      <c r="AB37" s="31"/>
      <c r="AC37" s="31"/>
      <c r="AD37" s="31"/>
      <c r="AE37" s="31"/>
    </row>
    <row r="38" spans="1:31" ht="20.25" customHeight="1" x14ac:dyDescent="0.2">
      <c r="A38" s="2" t="s">
        <v>4</v>
      </c>
      <c r="B38" s="19"/>
      <c r="C38" s="21" t="str" cm="1">
        <f t="array" ref="C38">IF(OR(B38="",AND(AND(B38&lt;&gt;"(",B38&lt;&gt;"2",B38&lt;&gt;"^",B38&lt;&gt;"f"),OR(B38=B37,B38=B36,B38=B35,B38=B34))),"",TUMDD(B38))</f>
        <v/>
      </c>
      <c r="D38" s="80"/>
      <c r="E38" s="1"/>
      <c r="G38" s="2" t="s">
        <v>4</v>
      </c>
      <c r="H38" s="19"/>
      <c r="I38" s="21" t="str" cm="1">
        <f t="array" ref="I38">IF(OR(H38="",AND(AND(H38&lt;&gt;"(",H38&lt;&gt;"2",H38&lt;&gt;"^",H38&lt;&gt;"f"),OR(H38=B$41,H38=B$40,H38=B$39,H38=B$38,H38=B$37,H38=B$36,H38=B$35,H38=B$34,H38=H37,H38=H36,H38=H35,H38=H34))),"",TUMDD(H38))</f>
        <v/>
      </c>
      <c r="J38" s="80"/>
      <c r="K38" s="1"/>
      <c r="M38" s="46"/>
      <c r="N38" s="46"/>
      <c r="O38" s="46"/>
      <c r="P38" s="46"/>
      <c r="Q38" s="46"/>
      <c r="Z38" s="31"/>
      <c r="AA38" s="31"/>
      <c r="AB38" s="31"/>
      <c r="AC38" s="31"/>
      <c r="AD38" s="31"/>
      <c r="AE38" s="31"/>
    </row>
    <row r="39" spans="1:31" ht="20.25" customHeight="1" x14ac:dyDescent="0.2">
      <c r="A39" s="2" t="s">
        <v>5</v>
      </c>
      <c r="B39" s="19"/>
      <c r="C39" s="21" t="str" cm="1">
        <f t="array" ref="C39">IF(OR(B39="",AND(AND(B39&lt;&gt;"(",B39&lt;&gt;"2",B39&lt;&gt;"^",B39&lt;&gt;"f"),OR(B39=B38,B39=B37,B39=B36,B39=B35,B39=B34))),"",TUMDD(B39))</f>
        <v/>
      </c>
      <c r="D39" s="80"/>
      <c r="E39" s="1"/>
      <c r="G39" s="2" t="s">
        <v>5</v>
      </c>
      <c r="H39" s="19"/>
      <c r="I39" s="21" t="str" cm="1">
        <f t="array" ref="I39">IF(OR(H39="",AND(AND(H39&lt;&gt;"(",H39&lt;&gt;"2",H39&lt;&gt;"^",H39&lt;&gt;"f"),OR(H39=B$41,H39=B$40,H39=B$39,H39=B$38,H39=B$37,H39=B$36,H39=B$35,H39=B$34,H39=H38,H39=H37,H39=H36,H39=H35,H39=H34))),"",TUMDD(H39))</f>
        <v/>
      </c>
      <c r="J39" s="80"/>
      <c r="K39" s="1"/>
      <c r="M39" s="46"/>
      <c r="N39" s="46"/>
      <c r="O39" s="46"/>
      <c r="P39" s="46"/>
      <c r="Q39" s="46"/>
      <c r="Z39" s="31"/>
      <c r="AA39" s="31"/>
      <c r="AB39" s="31"/>
      <c r="AC39" s="31"/>
      <c r="AD39" s="31"/>
      <c r="AE39" s="31"/>
    </row>
    <row r="40" spans="1:31" ht="20.25" customHeight="1" x14ac:dyDescent="0.2">
      <c r="A40" s="2" t="s">
        <v>6</v>
      </c>
      <c r="B40" s="19"/>
      <c r="C40" s="21" t="str" cm="1">
        <f t="array" ref="C40">IF(OR(B40="",AND(AND(B40&lt;&gt;"(",B40&lt;&gt;"2",B40&lt;&gt;"^",B40&lt;&gt;"f"),OR(B40=B39,B40=B38,B40=B37,B40=B36,B40=B35,B40=B34))),"",TUMDD(B40))</f>
        <v/>
      </c>
      <c r="D40" s="80"/>
      <c r="E40" s="1"/>
      <c r="G40" s="2" t="s">
        <v>6</v>
      </c>
      <c r="H40" s="19"/>
      <c r="I40" s="21" t="str" cm="1">
        <f t="array" ref="I40">IF(OR(H40="",AND(AND(H40&lt;&gt;"(",H40&lt;&gt;"2",H40&lt;&gt;"^",H40&lt;&gt;"f"),OR(H40=B$41,H40=B$40,H40=B$39,H40=B$38,H40=B$37,H40=B$36,H40=B$35,H40=B$34,H40=H39,H40=H38,H40=H37,H40=H36,H40=H35,H40=H34))),"",TUMDD(H40))</f>
        <v/>
      </c>
      <c r="J40" s="80"/>
      <c r="K40" s="1"/>
      <c r="M40" s="46"/>
      <c r="N40" s="46"/>
      <c r="O40" s="46"/>
      <c r="P40" s="46"/>
      <c r="Q40" s="46"/>
      <c r="Z40" s="31"/>
      <c r="AA40" s="31"/>
      <c r="AB40" s="31"/>
      <c r="AC40" s="31"/>
      <c r="AD40" s="31"/>
      <c r="AE40" s="31"/>
    </row>
    <row r="41" spans="1:31" ht="20.25" customHeight="1" x14ac:dyDescent="0.2">
      <c r="A41" s="2" t="s">
        <v>7</v>
      </c>
      <c r="B41" s="19"/>
      <c r="C41" s="21" t="str" cm="1">
        <f t="array" ref="C41">IF(OR(B41="",AND(AND(B41&lt;&gt;"(",B41&lt;&gt;"2",B41&lt;&gt;"^",B41&lt;&gt;"f"),OR(B41=B40,B41=B39,B41=B38,B41=B37,B41=B36,B41=B35,B41=B34))),"",TUMDD(B41))</f>
        <v/>
      </c>
      <c r="D41" s="80"/>
      <c r="E41" s="1"/>
      <c r="G41" s="2" t="s">
        <v>7</v>
      </c>
      <c r="H41" s="19"/>
      <c r="I41" s="21" t="str" cm="1">
        <f t="array" ref="I41">IF(OR(H41="",AND(AND(H41&lt;&gt;"(",H41&lt;&gt;"2",H41&lt;&gt;"^",H41&lt;&gt;"f"),OR(H41=B$41,H41=B$40,H41=B$39,H41=B$38,H41=B$37,H41=B$36,H41=B$35,H41=B$34,H41=H40,H41=H39,H41=H38,H41=H37,H41=H36,H41=H35,H41=H34))),"",TUMDD(H41))</f>
        <v/>
      </c>
      <c r="J41" s="80"/>
      <c r="K41" s="1"/>
      <c r="M41" s="46"/>
      <c r="N41" s="46"/>
      <c r="O41" s="46"/>
      <c r="P41" s="46"/>
      <c r="Q41" s="46"/>
      <c r="Z41" s="31"/>
      <c r="AA41" s="31"/>
      <c r="AB41" s="31"/>
      <c r="AC41" s="31"/>
      <c r="AD41" s="31"/>
      <c r="AE41" s="31"/>
    </row>
    <row r="42" spans="1:31" s="3" customFormat="1" ht="20.25" customHeight="1" x14ac:dyDescent="0.2">
      <c r="A42" s="86" t="str">
        <f>IF(AND($B$5="Women/Femmes",COUNTIF(C34:C41,"&gt;=2")&gt;1),"Total DD*","Total DD")</f>
        <v>Total DD</v>
      </c>
      <c r="B42" s="87"/>
      <c r="C42" s="20" t="str">
        <f>IF(SUM(C34:C41)=0,"",SUM(C34:C41)+IF(AND($B$5="Women/Femmes",COUNTIF(C34:C41,"&gt;=2")&gt;1),COUNTIF(C34:C41,"&gt;=2")-1,0))</f>
        <v/>
      </c>
      <c r="D42" s="10" t="s">
        <v>9</v>
      </c>
      <c r="E42" s="9"/>
      <c r="G42" s="75" t="str">
        <f>IF(AND($B$5="Women/Femmes",COUNTIF(I34:I41,"&gt;=2")&gt;1),"Total DD*","Total DD")</f>
        <v>Total DD</v>
      </c>
      <c r="H42" s="76"/>
      <c r="I42" s="20" t="str">
        <f>IF(SUM(I34:I41)=0,"",SUM(I34:I41)+IF(AND($B$5="Women/Femmes",COUNTIF(I34:I41,"&gt;=2")&gt;1),COUNTIF(I34:I41,"&gt;=2")-1,0))</f>
        <v/>
      </c>
      <c r="J42" s="10" t="s">
        <v>9</v>
      </c>
      <c r="K42" s="11"/>
      <c r="M42" s="46"/>
      <c r="N42" s="46"/>
      <c r="O42" s="46"/>
      <c r="P42" s="46"/>
      <c r="Q42" s="46"/>
      <c r="Y42"/>
      <c r="Z42" s="31"/>
      <c r="AA42" s="31"/>
      <c r="AB42" s="31"/>
      <c r="AC42" s="32"/>
      <c r="AD42" s="32"/>
      <c r="AE42" s="32"/>
    </row>
    <row r="43" spans="1:31" s="3" customFormat="1" ht="20.25" customHeight="1" thickBot="1" x14ac:dyDescent="0.25">
      <c r="A43" s="88" t="s">
        <v>15</v>
      </c>
      <c r="B43" s="89"/>
      <c r="C43" s="36" t="str" cm="1">
        <f t="array" ref="C43">IF(C42="","",IF(LEFT($G$5,2)="L1",IF(OR(COUNTIFS(B35:B38,"-o")+COUNTIF(B35:B38,"-&lt;")+COUNTIF(B35:B38,"-/")+COUNTIF(B35:B38,"2")),0.5,0),IF(OR(LEFT($G$5,2)="L2",LEFT($G$5,2)="L3",LEFT($G$5,2)="L4"),IF(C42&gt;=E31,0.3,0),IF(OR(LEFT($G$5,2)="L5"),SUMPRODUCT(--(LEN(B34:B41)=3),--(C34:C41&lt;&gt;"")),IF(OR(LEFT($G$5,2)="L6",LEFT($G$5,2)="Ju",LEFT($G$5,2)="L7",AND($B$5="Women/Femmes",LEFT($G$5,2)="Se")),IF((SUMPRODUCT(--(B34:B40="1/"),--(C34:C40&lt;&gt;""))+SUMPRODUCT(--(B34:B40=".1/"),--(C34:C40&lt;&gt;""))+SUMPRODUCT(--(B34:B40="1"),--(C34:C40&lt;&gt;""))+SUMPRODUCT(--(B34:B40=".1"),--(C34:C40&lt;&gt;""))+SUMPRODUCT(--(B34:B40="2"),--(C34:C40&lt;&gt;""))+SUMPRODUCT(--(B34:B40="2."),--(C34:C40&lt;&gt;""))+SUMPRODUCT(--(LEN(B34:B40)=3),--(C34:C40&lt;&gt;"")))*0.3&gt;0.6,0.6,(SUMPRODUCT(--(B34:B40="1/"),--(C34:C40&lt;&gt;""))+SUMPRODUCT(--(B34:B40=".1/"),--(C34:C40&lt;&gt;""))+SUMPRODUCT(--(B34:B40="1"),--(C34:C40&lt;&gt;""))+SUMPRODUCT(--(B34:B40=".1"),--(C34:C40&lt;&gt;""))+SUMPRODUCT(--(B34:B40="2"),--(C34:C40&lt;&gt;""))+SUMPRODUCT(--(B34:B40="2."),--(C34:C40&lt;&gt;""))+SUMPRODUCT(--(LEN(B34:B40)=3),--(C34:C40&lt;&gt;"")))*0.3),0)))))</f>
        <v/>
      </c>
      <c r="D43" s="37" t="s">
        <v>16</v>
      </c>
      <c r="E43" s="38"/>
      <c r="G43" s="81" t="s">
        <v>15</v>
      </c>
      <c r="H43" s="82"/>
      <c r="I43" s="36" t="str" cm="1">
        <f t="array" ref="I43">IF(I42="","",IF(OR(LEFT($G$5,2)="L4",LEFT($G$5,2)="L5"),SUMPRODUCT(--(LEN(H34:H41)=3),--(I34:I41&lt;&gt;"")),IF(OR(LEFT($P$3,2)="L6",LEFT($P$3,2)="Ju",LEFT($P$3,2)="L7",AND($B$5="Women/Femmes",LEFT($P$3,2)="Se")),IF((SUMPRODUCT(--(H34:H40="1/"),--(I34:I40&lt;&gt;""))+SUMPRODUCT(--(H34:H40=".1/"),--(I34:I40&lt;&gt;""))+SUMPRODUCT(--(H34:H40="1"),--(I34:I40&lt;&gt;""))+SUMPRODUCT(--(H34:H40=".1"),--(I34:I40&lt;&gt;""))+SUMPRODUCT(--(H34:H40="2"),--(I34:I40&lt;&gt;""))+SUMPRODUCT(--(H34:H40="2."),--(I34:I40&lt;&gt;""))+SUMPRODUCT(--(LEN(H34:H40)=3),--(I34:I40&lt;&gt;"")))*0.3&gt;0.6,0.6,(SUMPRODUCT(--(H34:H40="1/"),--(I34:I40&lt;&gt;""))+SUMPRODUCT(--(H34:H40=".1/"),--(I34:I40&lt;&gt;""))+SUMPRODUCT(--(H34:H40="1"),--(I34:I40&lt;&gt;""))+SUMPRODUCT(--(H34:H40=".1"),--(I34:I40&lt;&gt;""))+SUMPRODUCT(--(H34:H40="2"),--(I34:I40&lt;&gt;""))+SUMPRODUCT(--(H34:H40="2."),--(I34:I40&lt;&gt;""))+SUMPRODUCT(--(LEN(H34:H40)=3),--(I34:I40&lt;&gt;"")))*0.3),0)))</f>
        <v/>
      </c>
      <c r="J43" s="37" t="s">
        <v>16</v>
      </c>
      <c r="K43" s="39"/>
      <c r="M43" s="46"/>
      <c r="N43" s="46"/>
      <c r="O43" s="46"/>
      <c r="P43" s="46"/>
      <c r="Q43" s="46"/>
      <c r="Y43"/>
      <c r="Z43" s="31"/>
      <c r="AA43" s="31"/>
      <c r="AB43" s="31"/>
      <c r="AC43" s="32"/>
      <c r="AD43" s="32"/>
      <c r="AE43" s="32"/>
    </row>
    <row r="44" spans="1:31" s="3" customFormat="1" ht="20.25" customHeight="1" thickBot="1" x14ac:dyDescent="0.25">
      <c r="A44" s="42" t="s">
        <v>13</v>
      </c>
      <c r="B44" s="43"/>
      <c r="C44" s="43"/>
      <c r="D44" s="43"/>
      <c r="E44" s="43"/>
      <c r="F44" s="43"/>
      <c r="G44" s="43"/>
      <c r="H44" s="43"/>
      <c r="I44" s="43"/>
      <c r="J44" s="43"/>
      <c r="K44" s="44"/>
      <c r="M44" s="46"/>
      <c r="N44" s="46"/>
      <c r="O44" s="46"/>
      <c r="P44" s="46"/>
      <c r="Q44" s="46"/>
      <c r="T44" s="31"/>
      <c r="U44" s="31"/>
      <c r="V44" s="31"/>
      <c r="W44" s="32"/>
      <c r="X44" s="32"/>
      <c r="Y44" s="32"/>
    </row>
    <row r="45" spans="1:31" ht="15" customHeight="1" x14ac:dyDescent="0.2">
      <c r="A45" s="55" t="s">
        <v>21</v>
      </c>
      <c r="B45" s="56"/>
      <c r="C45" s="56"/>
      <c r="D45" s="56"/>
      <c r="E45" s="57"/>
      <c r="G45" s="55" t="s">
        <v>21</v>
      </c>
      <c r="H45" s="56"/>
      <c r="I45" s="56"/>
      <c r="J45" s="56"/>
      <c r="K45" s="57"/>
      <c r="M45" s="46"/>
      <c r="N45" s="46"/>
      <c r="O45" s="46"/>
      <c r="P45" s="46"/>
      <c r="Q45" s="46"/>
      <c r="Z45" s="31"/>
      <c r="AA45" s="31"/>
      <c r="AB45" s="31"/>
      <c r="AC45" s="31"/>
      <c r="AD45" s="31"/>
      <c r="AE45" s="31"/>
    </row>
    <row r="46" spans="1:31" ht="15" customHeight="1" x14ac:dyDescent="0.2">
      <c r="A46" s="23" t="str">
        <f>IF(B46&lt;&gt;"","r","")</f>
        <v/>
      </c>
      <c r="B46" s="58" t="str">
        <f>IF(LEFT($G$5,2)="L1","Maximum 1 salto",IF(LEFT($G$5,2)="L2","Minimum 1 salto",IF(LEFT($G$5,2)="L3","Minimum 3 saltos",IF(LEFT($G$5,2)="L4","Minimum 4 saltos",IF(LEFT($G$5,2)="L5","Element 0.9 or higher","")))))</f>
        <v/>
      </c>
      <c r="C46" s="58"/>
      <c r="D46" s="58"/>
      <c r="E46" s="59"/>
      <c r="G46" s="23" t="str">
        <f>IF(H46&lt;&gt;"","r","")</f>
        <v/>
      </c>
      <c r="H46" s="58" t="str">
        <f>IF(OR(LEFT($G$5,2)="L3",LEFT($G$5,2)="L4"),"Minimum 1 salto",IF(LEFT($G$5,2)="L5",IF($L$5="Provincial","Element 1.1 or higher","Element 1.1 or higher (one finals pass)"),""))</f>
        <v/>
      </c>
      <c r="I46" s="58"/>
      <c r="J46" s="58"/>
      <c r="K46" s="59"/>
      <c r="M46" s="46"/>
      <c r="N46" s="46"/>
      <c r="O46" s="46"/>
      <c r="P46" s="46"/>
      <c r="Q46" s="46"/>
      <c r="Z46" s="31"/>
      <c r="AA46" s="31"/>
      <c r="AB46" s="31"/>
      <c r="AC46" s="31"/>
      <c r="AD46" s="31"/>
      <c r="AE46" s="31"/>
    </row>
    <row r="47" spans="1:31" ht="15" customHeight="1" x14ac:dyDescent="0.2">
      <c r="A47" s="23" t="str">
        <f>IF(B47&lt;&gt;"","r","")</f>
        <v/>
      </c>
      <c r="B47" s="58" t="str">
        <f>IF(LEFT($G$5,2)="L1","No element with twist",IF(LEFT($G$5,2)="L2","Maximum 2 saltos",IF(LEFT($G$5,2)="L3","Maximum 5 saltos",IF(LEFT($G$5,2)="L4","Maximum 2.0 per element",IF(LEFT($G$5,2)="L5",IF($L$5="Provincial","","Element 1.1 or higher (one finals pass, can combine)"),"")))))</f>
        <v/>
      </c>
      <c r="C47" s="58"/>
      <c r="D47" s="58"/>
      <c r="E47" s="59"/>
      <c r="G47" s="23" t="str">
        <f>IF(H47&lt;&gt;"","r","")</f>
        <v/>
      </c>
      <c r="H47" s="58" t="str">
        <f>IF(LEFT($G$5,2)="L3","Maximum 1.3 per element",IF(LEFT($G$5,2)="L4","Maximum 2.2 per element",""))</f>
        <v/>
      </c>
      <c r="I47" s="58"/>
      <c r="J47" s="58"/>
      <c r="K47" s="59"/>
      <c r="M47" s="46"/>
      <c r="N47" s="46"/>
      <c r="O47" s="46"/>
      <c r="P47" s="46"/>
      <c r="Q47" s="46"/>
      <c r="Z47" s="31"/>
      <c r="AA47" s="31"/>
      <c r="AB47" s="31"/>
      <c r="AC47" s="31"/>
      <c r="AD47" s="31"/>
      <c r="AE47" s="31"/>
    </row>
    <row r="48" spans="1:31" ht="16" thickBot="1" x14ac:dyDescent="0.25">
      <c r="A48" s="24" t="str">
        <f>IF(B48&lt;&gt;"","r","")</f>
        <v/>
      </c>
      <c r="B48" s="77" t="str">
        <f>IF(LEFT($G$5,2)="L1","End with straight jump or salto",IF(OR(LEFT($G$5,2)="L2",LEFT($G$5,2)="L3"),"Maximum 0.9 per element",""))</f>
        <v/>
      </c>
      <c r="C48" s="77"/>
      <c r="D48" s="77"/>
      <c r="E48" s="78"/>
      <c r="G48" s="24" t="str">
        <f>IF(H48&lt;&gt;"","r","")</f>
        <v/>
      </c>
      <c r="H48" s="77"/>
      <c r="I48" s="77"/>
      <c r="J48" s="77"/>
      <c r="K48" s="78"/>
      <c r="Z48" s="31"/>
      <c r="AA48" s="31"/>
      <c r="AB48" s="31"/>
      <c r="AC48" s="31"/>
      <c r="AD48" s="31"/>
      <c r="AE48" s="31"/>
    </row>
    <row r="49" spans="2:31" x14ac:dyDescent="0.2">
      <c r="Z49" s="31"/>
      <c r="AA49" s="31"/>
      <c r="AB49" s="31"/>
      <c r="AC49" s="31"/>
      <c r="AD49" s="31"/>
      <c r="AE49" s="31"/>
    </row>
    <row r="50" spans="2:31" x14ac:dyDescent="0.2">
      <c r="B50" t="s">
        <v>27</v>
      </c>
      <c r="Z50" s="31"/>
      <c r="AA50" s="31"/>
      <c r="AB50" s="31"/>
      <c r="AC50" s="31"/>
      <c r="AD50" s="31"/>
      <c r="AE50" s="31"/>
    </row>
    <row r="51" spans="2:31" x14ac:dyDescent="0.2">
      <c r="B51" t="s">
        <v>28</v>
      </c>
      <c r="Z51" s="31"/>
      <c r="AA51" s="31"/>
      <c r="AB51" s="31"/>
      <c r="AC51" s="31"/>
      <c r="AD51" s="31"/>
      <c r="AE51" s="31"/>
    </row>
    <row r="52" spans="2:31" x14ac:dyDescent="0.2">
      <c r="Z52" s="31"/>
      <c r="AA52" s="31"/>
      <c r="AB52" s="31"/>
      <c r="AC52" s="31"/>
      <c r="AD52" s="31"/>
      <c r="AE52" s="31"/>
    </row>
    <row r="53" spans="2:31" x14ac:dyDescent="0.2">
      <c r="N53" s="35"/>
    </row>
  </sheetData>
  <sheetProtection algorithmName="SHA-512" hashValue="ZTvkDta0dWuRpX55bHeCqkJPTBcPUC4tsQjedSROcyB6xnCjET1Awwa+82fDW8XQkp225ouCuJPnVvJSht0/BA==" saltValue="0FNmAU+TUAMgNN/z7FyihQ==" spinCount="100000" sheet="1" objects="1" scenarios="1"/>
  <mergeCells count="62">
    <mergeCell ref="B48:E48"/>
    <mergeCell ref="D34:D41"/>
    <mergeCell ref="G29:K30"/>
    <mergeCell ref="G32:I32"/>
    <mergeCell ref="J32:K32"/>
    <mergeCell ref="A32:C32"/>
    <mergeCell ref="D32:E32"/>
    <mergeCell ref="A29:E30"/>
    <mergeCell ref="G43:H43"/>
    <mergeCell ref="J34:J41"/>
    <mergeCell ref="A42:B42"/>
    <mergeCell ref="A33:B33"/>
    <mergeCell ref="H48:K48"/>
    <mergeCell ref="B47:E47"/>
    <mergeCell ref="H47:K47"/>
    <mergeCell ref="G45:K45"/>
    <mergeCell ref="A22:B22"/>
    <mergeCell ref="G22:H22"/>
    <mergeCell ref="A43:B43"/>
    <mergeCell ref="G33:H33"/>
    <mergeCell ref="G42:H42"/>
    <mergeCell ref="B25:E25"/>
    <mergeCell ref="H25:K25"/>
    <mergeCell ref="H46:K46"/>
    <mergeCell ref="B27:E27"/>
    <mergeCell ref="H27:K27"/>
    <mergeCell ref="B26:E26"/>
    <mergeCell ref="H26:K26"/>
    <mergeCell ref="A45:E45"/>
    <mergeCell ref="B46:E46"/>
    <mergeCell ref="N26:Q26"/>
    <mergeCell ref="N27:Q27"/>
    <mergeCell ref="M8:Q9"/>
    <mergeCell ref="M11:O11"/>
    <mergeCell ref="P11:Q11"/>
    <mergeCell ref="M12:N12"/>
    <mergeCell ref="P13:P20"/>
    <mergeCell ref="M21:N21"/>
    <mergeCell ref="M22:N22"/>
    <mergeCell ref="A23:Q23"/>
    <mergeCell ref="A21:B21"/>
    <mergeCell ref="D13:D20"/>
    <mergeCell ref="J13:J20"/>
    <mergeCell ref="G11:I11"/>
    <mergeCell ref="J11:K11"/>
    <mergeCell ref="A12:B12"/>
    <mergeCell ref="L5:N5"/>
    <mergeCell ref="G5:J5"/>
    <mergeCell ref="A1:Q1"/>
    <mergeCell ref="M24:Q24"/>
    <mergeCell ref="N25:Q25"/>
    <mergeCell ref="G12:H12"/>
    <mergeCell ref="A11:C11"/>
    <mergeCell ref="B3:D3"/>
    <mergeCell ref="G3:J3"/>
    <mergeCell ref="A8:E9"/>
    <mergeCell ref="G8:K9"/>
    <mergeCell ref="D11:E11"/>
    <mergeCell ref="B5:D5"/>
    <mergeCell ref="G21:H21"/>
    <mergeCell ref="A24:E24"/>
    <mergeCell ref="G24:K24"/>
  </mergeCells>
  <conditionalFormatting sqref="A18:C20 A39:C41 G18:I20 G29:K43 G45:K48">
    <cfRule type="expression" dxfId="9" priority="4">
      <formula>IF(OR(LEFT($G$5,2)="L1",LEFT($G$5,2)="L2"),1,0)</formula>
    </cfRule>
  </conditionalFormatting>
  <conditionalFormatting sqref="P30">
    <cfRule type="expression" dxfId="8" priority="3">
      <formula>IF($P$30="Repetitions",1,0)</formula>
    </cfRule>
  </conditionalFormatting>
  <conditionalFormatting sqref="P34">
    <cfRule type="expression" dxfId="7" priority="20">
      <formula>IF($P$34="Over Max",1,0)</formula>
    </cfRule>
  </conditionalFormatting>
  <conditionalFormatting sqref="P32">
    <cfRule type="expression" dxfId="6" priority="5">
      <formula>IF($P$32="Under Min",1,0)</formula>
    </cfRule>
  </conditionalFormatting>
  <conditionalFormatting sqref="C21 I21 O21 C42 I42">
    <cfRule type="expression" dxfId="5" priority="6">
      <formula>IF(AND(C21&lt;&gt;"",SUM(C13:C20)&lt;C10),1,0)</formula>
    </cfRule>
    <cfRule type="expression" dxfId="4" priority="24">
      <formula>IF(AND(C21&lt;&gt;"",SUM(C13:C20)&gt;E10),1,0)</formula>
    </cfRule>
  </conditionalFormatting>
  <conditionalFormatting sqref="B13:C20 B34:C41 H13:I20 H34:I41 N13:O20">
    <cfRule type="expression" dxfId="3" priority="2">
      <formula>IF(C13="N/A",1,0)</formula>
    </cfRule>
  </conditionalFormatting>
  <conditionalFormatting sqref="M8:Q22 M24:Q27">
    <cfRule type="expression" dxfId="0" priority="62" stopIfTrue="1">
      <formula>IF(NOT(OR(LEFT($G$5,2)="L7", LEFT($G$5,2)="Ju", LEFT($G$5,2)="Se")),1,0)</formula>
    </cfRule>
  </conditionalFormatting>
  <conditionalFormatting sqref="G37:I41">
    <cfRule type="expression" dxfId="2" priority="25" stopIfTrue="1">
      <formula>IF(OR(LEFT($G$5,2)="L3",LEFT($G$5,2)="L4",AND(LEFT($G$5,2)="L5",$L$5="Provincial")),1,0)</formula>
    </cfRule>
  </conditionalFormatting>
  <conditionalFormatting sqref="B13:B20 B34:B41 H13:H20 H34:H41 N13:N20">
    <cfRule type="expression" dxfId="1" priority="1">
      <formula>IF(AND(B13&lt;&gt;"",C13="",NOT(OR(LEFT($G$5,2)="L1",LEFT($G$5,2)="L2",LEFT($G$5,2)="L3",LEFT($G$5,2)="L4"))),1,0)</formula>
    </cfRule>
  </conditionalFormatting>
  <dataValidations count="4">
    <dataValidation type="list" allowBlank="1" showInputMessage="1" showErrorMessage="1" sqref="B5:D5" xr:uid="{00000000-0002-0000-0000-000000000000}">
      <formula1>"Choose:,Women/Femmes, Men/Hommes"</formula1>
    </dataValidation>
    <dataValidation type="list" allowBlank="1" showInputMessage="1" sqref="B13:B20 H34:H41 H13:H20 B34:B41 N13:N20" xr:uid="{A036E7B3-2B07-A344-8569-5103BE93ED94}">
      <formula1>"(,f,^,-o,-&lt;,-/,2,4,--o,--&lt;,--/,2-o,2-&lt;,2-/,-2o,-2/,22o,22/,24o,24/,---o,---&lt;"</formula1>
    </dataValidation>
    <dataValidation type="list" allowBlank="1" showInputMessage="1" showErrorMessage="1" sqref="S3:U3 K5:L5" xr:uid="{0095E709-CFB4-F349-B2E6-D96A31B679A0}">
      <formula1>"Choose:,Provincial,National"</formula1>
    </dataValidation>
    <dataValidation type="list" allowBlank="1" showInputMessage="1" showErrorMessage="1" sqref="G5" xr:uid="{64D38243-B1A2-DD43-B1E4-3C755B4025B6}">
      <formula1>"Choose:"</formula1>
    </dataValidation>
  </dataValidations>
  <pageMargins left="0.39370078740157483" right="0.39370078740157483" top="0.39370078740157483" bottom="0.19685039370078741" header="0.31496062992125984" footer="0.31496062992125984"/>
  <pageSetup scale="69" orientation="landscape" r:id="rId1"/>
  <headerFooter>
    <oddFooter>&amp;R&amp;"Calibri,Regular"&amp;K0000002023 version 1.1 (Feb 2023)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_xludf.Duplicate">
                <anchor moveWithCells="1" sizeWithCells="1">
                  <from>
                    <xdr:col>19</xdr:col>
                    <xdr:colOff>12700</xdr:colOff>
                    <xdr:row>1</xdr:row>
                    <xdr:rowOff>25400</xdr:rowOff>
                  </from>
                  <to>
                    <xdr:col>20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TUM</vt:lpstr>
      <vt:lpstr>'DD TUM'!Print_Area</vt:lpstr>
      <vt:lpstr>TUMM</vt:lpstr>
      <vt:lpstr>TUMW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2021-12-11T20:40:39Z</cp:lastPrinted>
  <dcterms:created xsi:type="dcterms:W3CDTF">2006-09-12T15:06:44Z</dcterms:created>
  <dcterms:modified xsi:type="dcterms:W3CDTF">2023-02-12T23:48:33Z</dcterms:modified>
  <cp:category/>
</cp:coreProperties>
</file>